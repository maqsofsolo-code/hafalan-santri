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ndok\RAPOT KELAS 5\"/>
    </mc:Choice>
  </mc:AlternateContent>
  <bookViews>
    <workbookView xWindow="0" yWindow="0" windowWidth="20490" windowHeight="7755" activeTab="3"/>
  </bookViews>
  <sheets>
    <sheet name="1" sheetId="1" r:id="rId1"/>
    <sheet name="2" sheetId="30" r:id="rId2"/>
    <sheet name="3" sheetId="31" r:id="rId3"/>
    <sheet name="4" sheetId="32" r:id="rId4"/>
    <sheet name="5" sheetId="33" r:id="rId5"/>
    <sheet name="6" sheetId="34" r:id="rId6"/>
    <sheet name="7" sheetId="35" r:id="rId7"/>
    <sheet name="8" sheetId="36" r:id="rId8"/>
    <sheet name="9" sheetId="45" r:id="rId9"/>
    <sheet name="10" sheetId="46" r:id="rId10"/>
    <sheet name="11" sheetId="47" r:id="rId11"/>
    <sheet name="Rekap" sheetId="27" r:id="rId12"/>
  </sheets>
  <definedNames>
    <definedName name="_xlnm.Print_Area" localSheetId="0">'1'!$A$1:$Q$62</definedName>
    <definedName name="_xlnm.Print_Area" localSheetId="9">'10'!$A$1:$Q$62</definedName>
    <definedName name="_xlnm.Print_Area" localSheetId="10">'11'!$A$1:$Q$62</definedName>
    <definedName name="_xlnm.Print_Area" localSheetId="1">'2'!$A$1:$Q$62</definedName>
    <definedName name="_xlnm.Print_Area" localSheetId="2">'3'!$A$1:$Q$62</definedName>
    <definedName name="_xlnm.Print_Area" localSheetId="3">'4'!$A$1:$Q$62</definedName>
    <definedName name="_xlnm.Print_Area" localSheetId="4">'5'!$A$1:$Q$62</definedName>
    <definedName name="_xlnm.Print_Area" localSheetId="5">'6'!$A$1:$Q$62</definedName>
    <definedName name="_xlnm.Print_Area" localSheetId="6">'7'!$A$1:$Q$62</definedName>
    <definedName name="_xlnm.Print_Area" localSheetId="7">'8'!$A$1:$Q$62</definedName>
    <definedName name="_xlnm.Print_Area" localSheetId="8">'9'!$A$1:$Q$62</definedName>
  </definedNames>
  <calcPr calcId="152511"/>
</workbook>
</file>

<file path=xl/calcChain.xml><?xml version="1.0" encoding="utf-8"?>
<calcChain xmlns="http://schemas.openxmlformats.org/spreadsheetml/2006/main">
  <c r="B18" i="27" l="1"/>
  <c r="N17" i="27"/>
  <c r="B17" i="27"/>
  <c r="B16" i="27"/>
  <c r="B15" i="27"/>
  <c r="B14" i="27"/>
  <c r="B13" i="27"/>
  <c r="B12" i="27"/>
  <c r="B11" i="27"/>
  <c r="B10" i="27"/>
  <c r="AY15" i="47"/>
  <c r="AX15" i="47"/>
  <c r="AW15" i="47"/>
  <c r="AV15" i="47"/>
  <c r="AU15" i="47"/>
  <c r="AT15" i="47"/>
  <c r="AS15" i="47"/>
  <c r="AR15" i="47"/>
  <c r="AQ15" i="47"/>
  <c r="AP15" i="47"/>
  <c r="AO15" i="47"/>
  <c r="AN15" i="47"/>
  <c r="AM15" i="47"/>
  <c r="AL15" i="47"/>
  <c r="AK15" i="47"/>
  <c r="AJ15" i="47"/>
  <c r="AI15" i="47"/>
  <c r="AH15" i="47"/>
  <c r="AG15" i="47"/>
  <c r="AF15" i="47"/>
  <c r="AE15" i="47"/>
  <c r="AD15" i="47"/>
  <c r="AC15" i="47"/>
  <c r="AB15" i="47"/>
  <c r="AA15" i="47"/>
  <c r="Z15" i="47"/>
  <c r="Y15" i="47"/>
  <c r="X15" i="47"/>
  <c r="W15" i="47"/>
  <c r="V15" i="47"/>
  <c r="AY14" i="47"/>
  <c r="AF18" i="27" s="1"/>
  <c r="AX14" i="47"/>
  <c r="AE18" i="27" s="1"/>
  <c r="AW14" i="47"/>
  <c r="AD18" i="27" s="1"/>
  <c r="AV14" i="47"/>
  <c r="AC18" i="27" s="1"/>
  <c r="AU14" i="47"/>
  <c r="AB18" i="27" s="1"/>
  <c r="AT14" i="47"/>
  <c r="AA18" i="27" s="1"/>
  <c r="AS14" i="47"/>
  <c r="Z18" i="27" s="1"/>
  <c r="AR14" i="47"/>
  <c r="Y18" i="27" s="1"/>
  <c r="AQ14" i="47"/>
  <c r="X18" i="27" s="1"/>
  <c r="AP14" i="47"/>
  <c r="W18" i="27" s="1"/>
  <c r="AO14" i="47"/>
  <c r="V18" i="27" s="1"/>
  <c r="AN14" i="47"/>
  <c r="U18" i="27" s="1"/>
  <c r="AM14" i="47"/>
  <c r="T18" i="27" s="1"/>
  <c r="AL14" i="47"/>
  <c r="S18" i="27" s="1"/>
  <c r="AK14" i="47"/>
  <c r="R18" i="27" s="1"/>
  <c r="AJ14" i="47"/>
  <c r="Q18" i="27" s="1"/>
  <c r="AI14" i="47"/>
  <c r="P18" i="27" s="1"/>
  <c r="AH14" i="47"/>
  <c r="O18" i="27" s="1"/>
  <c r="AG14" i="47"/>
  <c r="N18" i="27" s="1"/>
  <c r="AF14" i="47"/>
  <c r="M18" i="27" s="1"/>
  <c r="AE14" i="47"/>
  <c r="L18" i="27" s="1"/>
  <c r="AD14" i="47"/>
  <c r="K18" i="27" s="1"/>
  <c r="AC14" i="47"/>
  <c r="J18" i="27" s="1"/>
  <c r="AB14" i="47"/>
  <c r="I18" i="27" s="1"/>
  <c r="AA14" i="47"/>
  <c r="H18" i="27" s="1"/>
  <c r="Z14" i="47"/>
  <c r="G18" i="27" s="1"/>
  <c r="Y14" i="47"/>
  <c r="F18" i="27" s="1"/>
  <c r="X14" i="47"/>
  <c r="E18" i="27" s="1"/>
  <c r="W14" i="47"/>
  <c r="D18" i="27" s="1"/>
  <c r="V14" i="47"/>
  <c r="AY15" i="46"/>
  <c r="AX15" i="46"/>
  <c r="AW15" i="46"/>
  <c r="AV15" i="46"/>
  <c r="AU15" i="46"/>
  <c r="AT15" i="46"/>
  <c r="AS15" i="46"/>
  <c r="AR15" i="46"/>
  <c r="AQ15" i="46"/>
  <c r="AP15" i="46"/>
  <c r="AO15" i="46"/>
  <c r="AN15" i="46"/>
  <c r="AM15" i="46"/>
  <c r="AL15" i="46"/>
  <c r="AK15" i="46"/>
  <c r="AJ15" i="46"/>
  <c r="AI15" i="46"/>
  <c r="AH15" i="46"/>
  <c r="AG15" i="46"/>
  <c r="AF15" i="46"/>
  <c r="AE15" i="46"/>
  <c r="AD15" i="46"/>
  <c r="AC15" i="46"/>
  <c r="AB15" i="46"/>
  <c r="AA15" i="46"/>
  <c r="Z15" i="46"/>
  <c r="Y15" i="46"/>
  <c r="X15" i="46"/>
  <c r="W15" i="46"/>
  <c r="V15" i="46"/>
  <c r="AY14" i="46"/>
  <c r="AF17" i="27" s="1"/>
  <c r="AX14" i="46"/>
  <c r="AE17" i="27" s="1"/>
  <c r="AW14" i="46"/>
  <c r="AD17" i="27" s="1"/>
  <c r="AV14" i="46"/>
  <c r="AC17" i="27" s="1"/>
  <c r="AU14" i="46"/>
  <c r="AB17" i="27" s="1"/>
  <c r="AT14" i="46"/>
  <c r="AA17" i="27" s="1"/>
  <c r="AS14" i="46"/>
  <c r="Z17" i="27" s="1"/>
  <c r="AR14" i="46"/>
  <c r="Y17" i="27" s="1"/>
  <c r="AQ14" i="46"/>
  <c r="X17" i="27" s="1"/>
  <c r="AP14" i="46"/>
  <c r="W17" i="27" s="1"/>
  <c r="AO14" i="46"/>
  <c r="V17" i="27" s="1"/>
  <c r="AN14" i="46"/>
  <c r="U17" i="27" s="1"/>
  <c r="AM14" i="46"/>
  <c r="T17" i="27" s="1"/>
  <c r="AL14" i="46"/>
  <c r="S17" i="27" s="1"/>
  <c r="AK14" i="46"/>
  <c r="R17" i="27" s="1"/>
  <c r="AJ14" i="46"/>
  <c r="Q17" i="27" s="1"/>
  <c r="AI14" i="46"/>
  <c r="P17" i="27" s="1"/>
  <c r="AH14" i="46"/>
  <c r="O17" i="27" s="1"/>
  <c r="AG14" i="46"/>
  <c r="AF14" i="46"/>
  <c r="M17" i="27" s="1"/>
  <c r="AE14" i="46"/>
  <c r="L17" i="27" s="1"/>
  <c r="AD14" i="46"/>
  <c r="K17" i="27" s="1"/>
  <c r="AC14" i="46"/>
  <c r="J17" i="27" s="1"/>
  <c r="AB14" i="46"/>
  <c r="I17" i="27" s="1"/>
  <c r="AA14" i="46"/>
  <c r="H17" i="27" s="1"/>
  <c r="Z14" i="46"/>
  <c r="G17" i="27" s="1"/>
  <c r="Y14" i="46"/>
  <c r="F17" i="27" s="1"/>
  <c r="X14" i="46"/>
  <c r="E17" i="27" s="1"/>
  <c r="W14" i="46"/>
  <c r="D17" i="27" s="1"/>
  <c r="V14" i="46"/>
  <c r="AY15" i="45"/>
  <c r="AX15" i="45"/>
  <c r="AW15" i="45"/>
  <c r="AV15" i="45"/>
  <c r="AU15" i="45"/>
  <c r="AT15" i="45"/>
  <c r="AS15" i="45"/>
  <c r="AR15" i="45"/>
  <c r="AQ15" i="45"/>
  <c r="AP15" i="45"/>
  <c r="AO15" i="45"/>
  <c r="AN15" i="45"/>
  <c r="AM15" i="45"/>
  <c r="AL15" i="45"/>
  <c r="AK15" i="45"/>
  <c r="AJ15" i="45"/>
  <c r="AI15" i="45"/>
  <c r="AH15" i="45"/>
  <c r="AG15" i="45"/>
  <c r="AF15" i="45"/>
  <c r="AE15" i="45"/>
  <c r="AD15" i="45"/>
  <c r="AC15" i="45"/>
  <c r="AB15" i="45"/>
  <c r="AA15" i="45"/>
  <c r="Z15" i="45"/>
  <c r="Y15" i="45"/>
  <c r="X15" i="45"/>
  <c r="W15" i="45"/>
  <c r="V15" i="45"/>
  <c r="AY14" i="45"/>
  <c r="AF16" i="27" s="1"/>
  <c r="AX14" i="45"/>
  <c r="AE16" i="27" s="1"/>
  <c r="AW14" i="45"/>
  <c r="AD16" i="27" s="1"/>
  <c r="AV14" i="45"/>
  <c r="AC16" i="27" s="1"/>
  <c r="AU14" i="45"/>
  <c r="AB16" i="27" s="1"/>
  <c r="AT14" i="45"/>
  <c r="AA16" i="27" s="1"/>
  <c r="AS14" i="45"/>
  <c r="Z16" i="27" s="1"/>
  <c r="AR14" i="45"/>
  <c r="Y16" i="27" s="1"/>
  <c r="AQ14" i="45"/>
  <c r="X16" i="27" s="1"/>
  <c r="AP14" i="45"/>
  <c r="W16" i="27" s="1"/>
  <c r="AO14" i="45"/>
  <c r="V16" i="27" s="1"/>
  <c r="AN14" i="45"/>
  <c r="U16" i="27" s="1"/>
  <c r="AM14" i="45"/>
  <c r="T16" i="27" s="1"/>
  <c r="AL14" i="45"/>
  <c r="S16" i="27" s="1"/>
  <c r="AK14" i="45"/>
  <c r="R16" i="27" s="1"/>
  <c r="AJ14" i="45"/>
  <c r="Q16" i="27" s="1"/>
  <c r="AI14" i="45"/>
  <c r="P16" i="27" s="1"/>
  <c r="AH14" i="45"/>
  <c r="O16" i="27" s="1"/>
  <c r="AG14" i="45"/>
  <c r="N16" i="27" s="1"/>
  <c r="AF14" i="45"/>
  <c r="M16" i="27" s="1"/>
  <c r="AE14" i="45"/>
  <c r="L16" i="27" s="1"/>
  <c r="AD14" i="45"/>
  <c r="K16" i="27" s="1"/>
  <c r="AC14" i="45"/>
  <c r="J16" i="27" s="1"/>
  <c r="AB14" i="45"/>
  <c r="I16" i="27" s="1"/>
  <c r="AA14" i="45"/>
  <c r="H16" i="27" s="1"/>
  <c r="Z14" i="45"/>
  <c r="G16" i="27" s="1"/>
  <c r="Y14" i="45"/>
  <c r="F16" i="27" s="1"/>
  <c r="X14" i="45"/>
  <c r="E16" i="27" s="1"/>
  <c r="W14" i="45"/>
  <c r="D16" i="27" s="1"/>
  <c r="V14" i="45"/>
  <c r="AY15" i="36"/>
  <c r="AX15" i="36"/>
  <c r="AW15" i="36"/>
  <c r="AV15" i="36"/>
  <c r="AU15" i="36"/>
  <c r="AT15" i="36"/>
  <c r="AS15" i="36"/>
  <c r="AR15" i="36"/>
  <c r="AQ15" i="36"/>
  <c r="AP15" i="36"/>
  <c r="AO15" i="36"/>
  <c r="AN15" i="36"/>
  <c r="AM15" i="36"/>
  <c r="AL15" i="36"/>
  <c r="AK15" i="36"/>
  <c r="AJ15" i="36"/>
  <c r="AI15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AY14" i="36"/>
  <c r="AF15" i="27" s="1"/>
  <c r="AX14" i="36"/>
  <c r="AE15" i="27" s="1"/>
  <c r="AW14" i="36"/>
  <c r="AD15" i="27" s="1"/>
  <c r="AV14" i="36"/>
  <c r="AC15" i="27" s="1"/>
  <c r="AU14" i="36"/>
  <c r="AB15" i="27" s="1"/>
  <c r="AT14" i="36"/>
  <c r="AA15" i="27" s="1"/>
  <c r="AS14" i="36"/>
  <c r="Z15" i="27" s="1"/>
  <c r="AR14" i="36"/>
  <c r="Y15" i="27" s="1"/>
  <c r="AQ14" i="36"/>
  <c r="X15" i="27" s="1"/>
  <c r="AP14" i="36"/>
  <c r="W15" i="27" s="1"/>
  <c r="AO14" i="36"/>
  <c r="V15" i="27" s="1"/>
  <c r="AN14" i="36"/>
  <c r="U15" i="27" s="1"/>
  <c r="AM14" i="36"/>
  <c r="T15" i="27" s="1"/>
  <c r="AL14" i="36"/>
  <c r="S15" i="27" s="1"/>
  <c r="AK14" i="36"/>
  <c r="R15" i="27" s="1"/>
  <c r="AJ14" i="36"/>
  <c r="Q15" i="27" s="1"/>
  <c r="AI14" i="36"/>
  <c r="P15" i="27" s="1"/>
  <c r="AH14" i="36"/>
  <c r="O15" i="27" s="1"/>
  <c r="AG14" i="36"/>
  <c r="N15" i="27" s="1"/>
  <c r="AF14" i="36"/>
  <c r="M15" i="27" s="1"/>
  <c r="AE14" i="36"/>
  <c r="L15" i="27" s="1"/>
  <c r="AD14" i="36"/>
  <c r="K15" i="27" s="1"/>
  <c r="AC14" i="36"/>
  <c r="J15" i="27" s="1"/>
  <c r="AB14" i="36"/>
  <c r="I15" i="27" s="1"/>
  <c r="AA14" i="36"/>
  <c r="H15" i="27" s="1"/>
  <c r="Z14" i="36"/>
  <c r="G15" i="27" s="1"/>
  <c r="Y14" i="36"/>
  <c r="F15" i="27" s="1"/>
  <c r="X14" i="36"/>
  <c r="E15" i="27" s="1"/>
  <c r="W14" i="36"/>
  <c r="D15" i="27" s="1"/>
  <c r="V14" i="36"/>
  <c r="AY15" i="35"/>
  <c r="AX15" i="35"/>
  <c r="AW15" i="35"/>
  <c r="AV15" i="35"/>
  <c r="AU15" i="35"/>
  <c r="AT15" i="35"/>
  <c r="AS15" i="35"/>
  <c r="AR15" i="35"/>
  <c r="AQ15" i="35"/>
  <c r="AP15" i="35"/>
  <c r="AO15" i="35"/>
  <c r="AN15" i="35"/>
  <c r="AM15" i="35"/>
  <c r="AL15" i="35"/>
  <c r="AK15" i="35"/>
  <c r="AJ15" i="35"/>
  <c r="AI15" i="35"/>
  <c r="AH15" i="35"/>
  <c r="AG15" i="35"/>
  <c r="AF15" i="35"/>
  <c r="AE15" i="35"/>
  <c r="AD15" i="35"/>
  <c r="AC15" i="35"/>
  <c r="AB15" i="35"/>
  <c r="AA15" i="35"/>
  <c r="Z15" i="35"/>
  <c r="Y15" i="35"/>
  <c r="X15" i="35"/>
  <c r="W15" i="35"/>
  <c r="V15" i="35"/>
  <c r="AY14" i="35"/>
  <c r="AF14" i="27" s="1"/>
  <c r="AX14" i="35"/>
  <c r="AE14" i="27" s="1"/>
  <c r="AW14" i="35"/>
  <c r="AD14" i="27" s="1"/>
  <c r="AV14" i="35"/>
  <c r="AC14" i="27" s="1"/>
  <c r="AU14" i="35"/>
  <c r="AB14" i="27" s="1"/>
  <c r="AT14" i="35"/>
  <c r="AA14" i="27" s="1"/>
  <c r="AS14" i="35"/>
  <c r="Z14" i="27" s="1"/>
  <c r="AR14" i="35"/>
  <c r="Y14" i="27" s="1"/>
  <c r="AQ14" i="35"/>
  <c r="X14" i="27" s="1"/>
  <c r="AP14" i="35"/>
  <c r="W14" i="27" s="1"/>
  <c r="AO14" i="35"/>
  <c r="V14" i="27" s="1"/>
  <c r="AN14" i="35"/>
  <c r="U14" i="27" s="1"/>
  <c r="AM14" i="35"/>
  <c r="T14" i="27" s="1"/>
  <c r="AL14" i="35"/>
  <c r="S14" i="27" s="1"/>
  <c r="AK14" i="35"/>
  <c r="R14" i="27" s="1"/>
  <c r="AJ14" i="35"/>
  <c r="Q14" i="27" s="1"/>
  <c r="AI14" i="35"/>
  <c r="P14" i="27" s="1"/>
  <c r="AH14" i="35"/>
  <c r="O14" i="27" s="1"/>
  <c r="AG14" i="35"/>
  <c r="N14" i="27" s="1"/>
  <c r="AF14" i="35"/>
  <c r="M14" i="27" s="1"/>
  <c r="AE14" i="35"/>
  <c r="L14" i="27" s="1"/>
  <c r="AD14" i="35"/>
  <c r="K14" i="27" s="1"/>
  <c r="AC14" i="35"/>
  <c r="J14" i="27" s="1"/>
  <c r="AB14" i="35"/>
  <c r="I14" i="27" s="1"/>
  <c r="AA14" i="35"/>
  <c r="H14" i="27" s="1"/>
  <c r="Z14" i="35"/>
  <c r="G14" i="27" s="1"/>
  <c r="Y14" i="35"/>
  <c r="F14" i="27" s="1"/>
  <c r="X14" i="35"/>
  <c r="E14" i="27" s="1"/>
  <c r="W14" i="35"/>
  <c r="D14" i="27" s="1"/>
  <c r="V14" i="35"/>
  <c r="AY15" i="34"/>
  <c r="AX15" i="34"/>
  <c r="AW15" i="34"/>
  <c r="AV15" i="34"/>
  <c r="AU15" i="34"/>
  <c r="AT15" i="34"/>
  <c r="AS15" i="34"/>
  <c r="AR15" i="34"/>
  <c r="AQ15" i="34"/>
  <c r="AP15" i="34"/>
  <c r="AO15" i="34"/>
  <c r="AN15" i="34"/>
  <c r="AM15" i="34"/>
  <c r="AL15" i="34"/>
  <c r="AK15" i="34"/>
  <c r="AJ15" i="34"/>
  <c r="AI15" i="34"/>
  <c r="AH15" i="34"/>
  <c r="AG15" i="34"/>
  <c r="AF15" i="34"/>
  <c r="AE15" i="34"/>
  <c r="AD15" i="34"/>
  <c r="AC15" i="34"/>
  <c r="AB15" i="34"/>
  <c r="AA15" i="34"/>
  <c r="Z15" i="34"/>
  <c r="Y15" i="34"/>
  <c r="X15" i="34"/>
  <c r="W15" i="34"/>
  <c r="V15" i="34"/>
  <c r="AY14" i="34"/>
  <c r="AF13" i="27" s="1"/>
  <c r="AX14" i="34"/>
  <c r="AE13" i="27" s="1"/>
  <c r="AW14" i="34"/>
  <c r="AD13" i="27" s="1"/>
  <c r="AV14" i="34"/>
  <c r="AC13" i="27" s="1"/>
  <c r="AU14" i="34"/>
  <c r="AB13" i="27" s="1"/>
  <c r="AT14" i="34"/>
  <c r="AA13" i="27" s="1"/>
  <c r="AS14" i="34"/>
  <c r="Z13" i="27" s="1"/>
  <c r="AR14" i="34"/>
  <c r="Y13" i="27" s="1"/>
  <c r="AQ14" i="34"/>
  <c r="X13" i="27" s="1"/>
  <c r="AP14" i="34"/>
  <c r="W13" i="27" s="1"/>
  <c r="AO14" i="34"/>
  <c r="V13" i="27" s="1"/>
  <c r="AN14" i="34"/>
  <c r="U13" i="27" s="1"/>
  <c r="AM14" i="34"/>
  <c r="T13" i="27" s="1"/>
  <c r="AL14" i="34"/>
  <c r="S13" i="27" s="1"/>
  <c r="AK14" i="34"/>
  <c r="R13" i="27" s="1"/>
  <c r="AJ14" i="34"/>
  <c r="Q13" i="27" s="1"/>
  <c r="AI14" i="34"/>
  <c r="P13" i="27" s="1"/>
  <c r="AH14" i="34"/>
  <c r="O13" i="27" s="1"/>
  <c r="AG14" i="34"/>
  <c r="N13" i="27" s="1"/>
  <c r="AF14" i="34"/>
  <c r="M13" i="27" s="1"/>
  <c r="AE14" i="34"/>
  <c r="L13" i="27" s="1"/>
  <c r="AD14" i="34"/>
  <c r="K13" i="27" s="1"/>
  <c r="AC14" i="34"/>
  <c r="J13" i="27" s="1"/>
  <c r="AB14" i="34"/>
  <c r="I13" i="27" s="1"/>
  <c r="AA14" i="34"/>
  <c r="H13" i="27" s="1"/>
  <c r="Z14" i="34"/>
  <c r="G13" i="27" s="1"/>
  <c r="Y14" i="34"/>
  <c r="F13" i="27" s="1"/>
  <c r="X14" i="34"/>
  <c r="E13" i="27" s="1"/>
  <c r="W14" i="34"/>
  <c r="D13" i="27" s="1"/>
  <c r="V14" i="34"/>
  <c r="AY15" i="33"/>
  <c r="AX15" i="33"/>
  <c r="AW15" i="33"/>
  <c r="AV15" i="33"/>
  <c r="AU15" i="33"/>
  <c r="AT15" i="33"/>
  <c r="AS15" i="33"/>
  <c r="AR15" i="33"/>
  <c r="AQ15" i="33"/>
  <c r="AP15" i="33"/>
  <c r="AO15" i="33"/>
  <c r="AN15" i="33"/>
  <c r="AM15" i="33"/>
  <c r="AL15" i="33"/>
  <c r="AK15" i="33"/>
  <c r="AJ15" i="33"/>
  <c r="AI15" i="33"/>
  <c r="AH15" i="33"/>
  <c r="AG15" i="33"/>
  <c r="AF15" i="33"/>
  <c r="AE15" i="33"/>
  <c r="AD15" i="33"/>
  <c r="AC15" i="33"/>
  <c r="AB15" i="33"/>
  <c r="AA15" i="33"/>
  <c r="Z15" i="33"/>
  <c r="Y15" i="33"/>
  <c r="X15" i="33"/>
  <c r="W15" i="33"/>
  <c r="V15" i="33"/>
  <c r="AY14" i="33"/>
  <c r="AF12" i="27" s="1"/>
  <c r="AX14" i="33"/>
  <c r="AE12" i="27" s="1"/>
  <c r="AW14" i="33"/>
  <c r="AD12" i="27" s="1"/>
  <c r="AV14" i="33"/>
  <c r="AC12" i="27" s="1"/>
  <c r="AU14" i="33"/>
  <c r="AB12" i="27" s="1"/>
  <c r="AT14" i="33"/>
  <c r="AA12" i="27" s="1"/>
  <c r="AS14" i="33"/>
  <c r="Z12" i="27" s="1"/>
  <c r="AR14" i="33"/>
  <c r="Y12" i="27" s="1"/>
  <c r="AQ14" i="33"/>
  <c r="X12" i="27" s="1"/>
  <c r="AP14" i="33"/>
  <c r="W12" i="27" s="1"/>
  <c r="AO14" i="33"/>
  <c r="V12" i="27" s="1"/>
  <c r="AN14" i="33"/>
  <c r="U12" i="27" s="1"/>
  <c r="AM14" i="33"/>
  <c r="T12" i="27" s="1"/>
  <c r="AL14" i="33"/>
  <c r="S12" i="27" s="1"/>
  <c r="AK14" i="33"/>
  <c r="R12" i="27" s="1"/>
  <c r="AJ14" i="33"/>
  <c r="Q12" i="27" s="1"/>
  <c r="AI14" i="33"/>
  <c r="P12" i="27" s="1"/>
  <c r="AH14" i="33"/>
  <c r="O12" i="27" s="1"/>
  <c r="AG14" i="33"/>
  <c r="N12" i="27" s="1"/>
  <c r="AF14" i="33"/>
  <c r="M12" i="27" s="1"/>
  <c r="AE14" i="33"/>
  <c r="L12" i="27" s="1"/>
  <c r="AD14" i="33"/>
  <c r="K12" i="27" s="1"/>
  <c r="AC14" i="33"/>
  <c r="J12" i="27" s="1"/>
  <c r="AB14" i="33"/>
  <c r="I12" i="27" s="1"/>
  <c r="AA14" i="33"/>
  <c r="H12" i="27" s="1"/>
  <c r="Z14" i="33"/>
  <c r="G12" i="27" s="1"/>
  <c r="Y14" i="33"/>
  <c r="F12" i="27" s="1"/>
  <c r="X14" i="33"/>
  <c r="E12" i="27" s="1"/>
  <c r="W14" i="33"/>
  <c r="D12" i="27" s="1"/>
  <c r="V14" i="33"/>
  <c r="AY15" i="32"/>
  <c r="AX15" i="32"/>
  <c r="AW15" i="32"/>
  <c r="AV15" i="32"/>
  <c r="AU15" i="32"/>
  <c r="AT15" i="32"/>
  <c r="AS15" i="32"/>
  <c r="AR15" i="32"/>
  <c r="AQ15" i="32"/>
  <c r="AP15" i="32"/>
  <c r="AO15" i="32"/>
  <c r="AN15" i="32"/>
  <c r="AM15" i="32"/>
  <c r="AL15" i="32"/>
  <c r="AK15" i="32"/>
  <c r="AJ15" i="32"/>
  <c r="AI15" i="32"/>
  <c r="AH15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AY14" i="32"/>
  <c r="AF11" i="27" s="1"/>
  <c r="AX14" i="32"/>
  <c r="AE11" i="27" s="1"/>
  <c r="AW14" i="32"/>
  <c r="AD11" i="27" s="1"/>
  <c r="AV14" i="32"/>
  <c r="AC11" i="27" s="1"/>
  <c r="AU14" i="32"/>
  <c r="AB11" i="27" s="1"/>
  <c r="AT14" i="32"/>
  <c r="AA11" i="27" s="1"/>
  <c r="AS14" i="32"/>
  <c r="Z11" i="27" s="1"/>
  <c r="AR14" i="32"/>
  <c r="Y11" i="27" s="1"/>
  <c r="AQ14" i="32"/>
  <c r="X11" i="27" s="1"/>
  <c r="AP14" i="32"/>
  <c r="W11" i="27" s="1"/>
  <c r="AO14" i="32"/>
  <c r="V11" i="27" s="1"/>
  <c r="AN14" i="32"/>
  <c r="U11" i="27" s="1"/>
  <c r="AM14" i="32"/>
  <c r="T11" i="27" s="1"/>
  <c r="AL14" i="32"/>
  <c r="S11" i="27" s="1"/>
  <c r="AK14" i="32"/>
  <c r="R11" i="27" s="1"/>
  <c r="AJ14" i="32"/>
  <c r="Q11" i="27" s="1"/>
  <c r="AI14" i="32"/>
  <c r="P11" i="27" s="1"/>
  <c r="AH14" i="32"/>
  <c r="O11" i="27" s="1"/>
  <c r="AG14" i="32"/>
  <c r="N11" i="27" s="1"/>
  <c r="AF14" i="32"/>
  <c r="M11" i="27" s="1"/>
  <c r="AE14" i="32"/>
  <c r="L11" i="27" s="1"/>
  <c r="AD14" i="32"/>
  <c r="K11" i="27" s="1"/>
  <c r="AC14" i="32"/>
  <c r="J11" i="27" s="1"/>
  <c r="AB14" i="32"/>
  <c r="I11" i="27" s="1"/>
  <c r="AA14" i="32"/>
  <c r="H11" i="27" s="1"/>
  <c r="Z14" i="32"/>
  <c r="G11" i="27" s="1"/>
  <c r="Y14" i="32"/>
  <c r="F11" i="27" s="1"/>
  <c r="X14" i="32"/>
  <c r="W14" i="32"/>
  <c r="D11" i="27" s="1"/>
  <c r="V14" i="32"/>
  <c r="C11" i="27" s="1"/>
  <c r="AY15" i="31"/>
  <c r="AX15" i="31"/>
  <c r="AW15" i="31"/>
  <c r="AV15" i="31"/>
  <c r="AU15" i="31"/>
  <c r="AT15" i="31"/>
  <c r="AS15" i="31"/>
  <c r="AR15" i="31"/>
  <c r="AQ15" i="31"/>
  <c r="AP15" i="31"/>
  <c r="AO15" i="31"/>
  <c r="AN15" i="31"/>
  <c r="AM15" i="31"/>
  <c r="AL15" i="31"/>
  <c r="AK15" i="31"/>
  <c r="AJ15" i="31"/>
  <c r="AI15" i="31"/>
  <c r="AH15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AY14" i="31"/>
  <c r="AF10" i="27" s="1"/>
  <c r="AX14" i="31"/>
  <c r="AE10" i="27" s="1"/>
  <c r="AW14" i="31"/>
  <c r="AD10" i="27" s="1"/>
  <c r="AV14" i="31"/>
  <c r="AC10" i="27" s="1"/>
  <c r="AU14" i="31"/>
  <c r="AB10" i="27" s="1"/>
  <c r="AT14" i="31"/>
  <c r="AA10" i="27" s="1"/>
  <c r="AS14" i="31"/>
  <c r="Z10" i="27" s="1"/>
  <c r="AR14" i="31"/>
  <c r="Y10" i="27" s="1"/>
  <c r="AQ14" i="31"/>
  <c r="X10" i="27" s="1"/>
  <c r="AP14" i="31"/>
  <c r="W10" i="27" s="1"/>
  <c r="AO14" i="31"/>
  <c r="V10" i="27" s="1"/>
  <c r="AN14" i="31"/>
  <c r="U10" i="27" s="1"/>
  <c r="AM14" i="31"/>
  <c r="T10" i="27" s="1"/>
  <c r="AL14" i="31"/>
  <c r="S10" i="27" s="1"/>
  <c r="AK14" i="31"/>
  <c r="R10" i="27" s="1"/>
  <c r="AJ14" i="31"/>
  <c r="Q10" i="27" s="1"/>
  <c r="AI14" i="31"/>
  <c r="P10" i="27" s="1"/>
  <c r="AH14" i="31"/>
  <c r="O10" i="27" s="1"/>
  <c r="AG14" i="31"/>
  <c r="N10" i="27" s="1"/>
  <c r="AF14" i="31"/>
  <c r="M10" i="27" s="1"/>
  <c r="AE14" i="31"/>
  <c r="L10" i="27" s="1"/>
  <c r="AD14" i="31"/>
  <c r="K10" i="27" s="1"/>
  <c r="AC14" i="31"/>
  <c r="J10" i="27" s="1"/>
  <c r="AB14" i="31"/>
  <c r="I10" i="27" s="1"/>
  <c r="AA14" i="31"/>
  <c r="H10" i="27" s="1"/>
  <c r="Z14" i="31"/>
  <c r="G10" i="27" s="1"/>
  <c r="Y14" i="31"/>
  <c r="F10" i="27" s="1"/>
  <c r="X14" i="31"/>
  <c r="E10" i="27" s="1"/>
  <c r="W14" i="31"/>
  <c r="D10" i="27" s="1"/>
  <c r="V14" i="31"/>
  <c r="C10" i="27" s="1"/>
  <c r="AF9" i="27"/>
  <c r="AB9" i="27"/>
  <c r="AA9" i="27"/>
  <c r="X9" i="27"/>
  <c r="W9" i="27"/>
  <c r="O9" i="27"/>
  <c r="G9" i="27"/>
  <c r="B9" i="27"/>
  <c r="AY15" i="30"/>
  <c r="AX15" i="30"/>
  <c r="AW15" i="30"/>
  <c r="AV15" i="30"/>
  <c r="AU15" i="30"/>
  <c r="AT15" i="30"/>
  <c r="AS15" i="30"/>
  <c r="AR15" i="30"/>
  <c r="AQ15" i="30"/>
  <c r="AP15" i="30"/>
  <c r="AO15" i="30"/>
  <c r="AN15" i="30"/>
  <c r="AM15" i="30"/>
  <c r="AL15" i="30"/>
  <c r="AK15" i="30"/>
  <c r="AJ15" i="30"/>
  <c r="AI15" i="30"/>
  <c r="AH15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AY14" i="30"/>
  <c r="AX14" i="30"/>
  <c r="AE9" i="27" s="1"/>
  <c r="AW14" i="30"/>
  <c r="AD9" i="27" s="1"/>
  <c r="AV14" i="30"/>
  <c r="AC9" i="27" s="1"/>
  <c r="AU14" i="30"/>
  <c r="AT14" i="30"/>
  <c r="AS14" i="30"/>
  <c r="Z9" i="27" s="1"/>
  <c r="AR14" i="30"/>
  <c r="Y9" i="27" s="1"/>
  <c r="AQ14" i="30"/>
  <c r="AP14" i="30"/>
  <c r="AO14" i="30"/>
  <c r="V9" i="27" s="1"/>
  <c r="AN14" i="30"/>
  <c r="U9" i="27" s="1"/>
  <c r="AM14" i="30"/>
  <c r="T9" i="27" s="1"/>
  <c r="AL14" i="30"/>
  <c r="S9" i="27" s="1"/>
  <c r="AK14" i="30"/>
  <c r="R9" i="27" s="1"/>
  <c r="AJ14" i="30"/>
  <c r="Q9" i="27" s="1"/>
  <c r="AI14" i="30"/>
  <c r="P9" i="27" s="1"/>
  <c r="AH14" i="30"/>
  <c r="AG14" i="30"/>
  <c r="N9" i="27" s="1"/>
  <c r="AF14" i="30"/>
  <c r="M9" i="27" s="1"/>
  <c r="AE14" i="30"/>
  <c r="L9" i="27" s="1"/>
  <c r="AD14" i="30"/>
  <c r="K9" i="27" s="1"/>
  <c r="AC14" i="30"/>
  <c r="J9" i="27" s="1"/>
  <c r="AB14" i="30"/>
  <c r="I9" i="27" s="1"/>
  <c r="AA14" i="30"/>
  <c r="H9" i="27" s="1"/>
  <c r="Z14" i="30"/>
  <c r="Y14" i="30"/>
  <c r="F9" i="27" s="1"/>
  <c r="X14" i="30"/>
  <c r="E9" i="27" s="1"/>
  <c r="W14" i="30"/>
  <c r="D9" i="27" s="1"/>
  <c r="V14" i="30"/>
  <c r="C9" i="27" s="1"/>
  <c r="AZ15" i="46" l="1"/>
  <c r="Q51" i="46" s="1"/>
  <c r="AZ15" i="45"/>
  <c r="Q51" i="45" s="1"/>
  <c r="AZ14" i="32"/>
  <c r="P51" i="32" s="1"/>
  <c r="AZ15" i="31"/>
  <c r="Q51" i="31" s="1"/>
  <c r="AJ10" i="27"/>
  <c r="AZ15" i="30"/>
  <c r="Q51" i="30" s="1"/>
  <c r="AZ14" i="33"/>
  <c r="P51" i="33" s="1"/>
  <c r="C12" i="27"/>
  <c r="AJ12" i="27" s="1"/>
  <c r="AZ14" i="34"/>
  <c r="P51" i="34" s="1"/>
  <c r="C13" i="27"/>
  <c r="AJ13" i="27" s="1"/>
  <c r="AZ14" i="35"/>
  <c r="P51" i="35" s="1"/>
  <c r="AZ14" i="36"/>
  <c r="P51" i="36" s="1"/>
  <c r="AZ14" i="45"/>
  <c r="P51" i="45" s="1"/>
  <c r="C16" i="27"/>
  <c r="AJ16" i="27" s="1"/>
  <c r="AZ14" i="46"/>
  <c r="P51" i="46" s="1"/>
  <c r="C17" i="27"/>
  <c r="AJ17" i="27" s="1"/>
  <c r="AZ14" i="47"/>
  <c r="P51" i="47" s="1"/>
  <c r="C14" i="27"/>
  <c r="AJ14" i="27" s="1"/>
  <c r="C15" i="27"/>
  <c r="AJ15" i="27" s="1"/>
  <c r="AZ15" i="32"/>
  <c r="Q51" i="32" s="1"/>
  <c r="AZ15" i="33"/>
  <c r="Q51" i="33" s="1"/>
  <c r="AZ15" i="34"/>
  <c r="Q51" i="34" s="1"/>
  <c r="AZ15" i="35"/>
  <c r="Q51" i="35" s="1"/>
  <c r="AZ15" i="36"/>
  <c r="Q51" i="36" s="1"/>
  <c r="AZ15" i="47"/>
  <c r="Q51" i="47" s="1"/>
  <c r="E11" i="27"/>
  <c r="AJ11" i="27" s="1"/>
  <c r="C18" i="27"/>
  <c r="AJ18" i="27" s="1"/>
  <c r="AZ14" i="31"/>
  <c r="P51" i="31" s="1"/>
  <c r="AJ9" i="27"/>
  <c r="AZ14" i="30"/>
  <c r="P51" i="30" s="1"/>
  <c r="B8" i="27"/>
  <c r="AG10" i="27" l="1"/>
  <c r="AK10" i="27" s="1"/>
  <c r="AG11" i="27"/>
  <c r="AK11" i="27" s="1"/>
  <c r="AG12" i="27"/>
  <c r="AK12" i="27" s="1"/>
  <c r="AG13" i="27"/>
  <c r="AK13" i="27" s="1"/>
  <c r="AG14" i="27"/>
  <c r="AK14" i="27" s="1"/>
  <c r="AG15" i="27"/>
  <c r="AK15" i="27" s="1"/>
  <c r="AG16" i="27"/>
  <c r="AK16" i="27" s="1"/>
  <c r="AG17" i="27"/>
  <c r="AK17" i="27" s="1"/>
  <c r="AG18" i="27"/>
  <c r="AK18" i="27" s="1"/>
  <c r="AL18" i="27" l="1"/>
  <c r="AL17" i="27"/>
  <c r="AL16" i="27"/>
  <c r="AL15" i="27"/>
  <c r="AL13" i="27"/>
  <c r="AL14" i="27"/>
  <c r="AL12" i="27"/>
  <c r="AL11" i="27"/>
  <c r="AL10" i="27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AY14" i="1"/>
  <c r="AF8" i="27" s="1"/>
  <c r="AX14" i="1"/>
  <c r="AE8" i="27" s="1"/>
  <c r="AW14" i="1"/>
  <c r="AD8" i="27" s="1"/>
  <c r="AV14" i="1"/>
  <c r="AC8" i="27" s="1"/>
  <c r="AU14" i="1"/>
  <c r="AB8" i="27" s="1"/>
  <c r="AT14" i="1"/>
  <c r="AA8" i="27" s="1"/>
  <c r="AS14" i="1"/>
  <c r="Z8" i="27" s="1"/>
  <c r="AR14" i="1"/>
  <c r="Y8" i="27" s="1"/>
  <c r="AQ14" i="1"/>
  <c r="X8" i="27" s="1"/>
  <c r="AP14" i="1"/>
  <c r="W8" i="27" s="1"/>
  <c r="AO14" i="1"/>
  <c r="V8" i="27" s="1"/>
  <c r="AN14" i="1"/>
  <c r="U8" i="27" s="1"/>
  <c r="AM14" i="1"/>
  <c r="T8" i="27" s="1"/>
  <c r="AL14" i="1"/>
  <c r="S8" i="27" s="1"/>
  <c r="AK14" i="1"/>
  <c r="R8" i="27" s="1"/>
  <c r="AJ14" i="1"/>
  <c r="AI14" i="1"/>
  <c r="P8" i="27" s="1"/>
  <c r="AH14" i="1"/>
  <c r="O8" i="27" s="1"/>
  <c r="AG14" i="1"/>
  <c r="N8" i="27" s="1"/>
  <c r="AF14" i="1"/>
  <c r="M8" i="27" s="1"/>
  <c r="AE14" i="1"/>
  <c r="AD14" i="1"/>
  <c r="K8" i="27" s="1"/>
  <c r="AC14" i="1"/>
  <c r="J8" i="27" s="1"/>
  <c r="AB14" i="1"/>
  <c r="I8" i="27" s="1"/>
  <c r="AA14" i="1"/>
  <c r="H8" i="27" s="1"/>
  <c r="Z14" i="1"/>
  <c r="G8" i="27" s="1"/>
  <c r="Y14" i="1"/>
  <c r="X14" i="1"/>
  <c r="E8" i="27" s="1"/>
  <c r="W14" i="1"/>
  <c r="D8" i="27" s="1"/>
  <c r="V14" i="1"/>
  <c r="AZ15" i="1" l="1"/>
  <c r="Q51" i="1" s="1"/>
  <c r="Q8" i="27"/>
  <c r="L8" i="27"/>
  <c r="F8" i="27"/>
  <c r="AZ14" i="1"/>
  <c r="P51" i="1" s="1"/>
  <c r="C8" i="27"/>
  <c r="AG8" i="27" l="1"/>
  <c r="AJ8" i="27"/>
  <c r="AK8" i="27" s="1"/>
  <c r="AG9" i="27"/>
  <c r="AK9" i="27" s="1"/>
  <c r="AL9" i="27" s="1"/>
  <c r="AL8" i="27" l="1"/>
  <c r="AI15" i="27"/>
  <c r="AI18" i="27"/>
  <c r="AI17" i="27"/>
  <c r="AI12" i="27"/>
  <c r="AI14" i="27"/>
  <c r="AI13" i="27"/>
  <c r="AI16" i="27"/>
  <c r="AI10" i="27"/>
  <c r="AI11" i="27"/>
  <c r="AI9" i="27"/>
  <c r="AI8" i="27"/>
</calcChain>
</file>

<file path=xl/sharedStrings.xml><?xml version="1.0" encoding="utf-8"?>
<sst xmlns="http://schemas.openxmlformats.org/spreadsheetml/2006/main" count="1956" uniqueCount="199">
  <si>
    <t>Juz</t>
  </si>
  <si>
    <t>Nama Surat</t>
  </si>
  <si>
    <t>Nilai</t>
  </si>
  <si>
    <t xml:space="preserve">al-Fatihah : 1 - 7 </t>
  </si>
  <si>
    <t>al-Baqoroh : 1 - 141</t>
  </si>
  <si>
    <t>al-Baqoroh : 253 - 286</t>
  </si>
  <si>
    <t>al-Baqoroh : 142 - 252</t>
  </si>
  <si>
    <t>Ali Imron : 1 - 91</t>
  </si>
  <si>
    <t>Ali Imron : 92 - 200</t>
  </si>
  <si>
    <t>an-Nisaa : 1 - 23</t>
  </si>
  <si>
    <t>an-Nisaa : 24 - 147</t>
  </si>
  <si>
    <t>an-Nisaa : 148 - 172</t>
  </si>
  <si>
    <t>al-Maidah : 1 - 81</t>
  </si>
  <si>
    <t>al-Maidah : 82 - 120</t>
  </si>
  <si>
    <t>al-An'am : 1 - 110</t>
  </si>
  <si>
    <t>al-An'am : 111 - 165</t>
  </si>
  <si>
    <t>al-A'raf : 1 - 87</t>
  </si>
  <si>
    <t>al-A'raf : 88 - 206</t>
  </si>
  <si>
    <t>al-Anfaal : 1 - 40</t>
  </si>
  <si>
    <t>al-Anfaal : 41 - 75</t>
  </si>
  <si>
    <t>at-Taubah : 1 - 92</t>
  </si>
  <si>
    <t>at-Taubah : 93 - 129</t>
  </si>
  <si>
    <t>Yunus : 1 - 109</t>
  </si>
  <si>
    <t>Huud : 1 - 5</t>
  </si>
  <si>
    <t>Huud : 6 - 123</t>
  </si>
  <si>
    <t>Yusuf : 1 - 52</t>
  </si>
  <si>
    <t>Yusuf : 53 - 111</t>
  </si>
  <si>
    <t>ar-Ra'd : 1 - 43</t>
  </si>
  <si>
    <t>Ibrahim : 1 - 52</t>
  </si>
  <si>
    <t>al-Hijr : 1 - 69</t>
  </si>
  <si>
    <t>an-Nahl : 1 - 128</t>
  </si>
  <si>
    <t>al-Israa : 1 - 111</t>
  </si>
  <si>
    <t>al-Kahfi : 1 - 74</t>
  </si>
  <si>
    <t>al-Kahfi : 75 - 110</t>
  </si>
  <si>
    <t>Maryam : 1 - 98</t>
  </si>
  <si>
    <t>Thaha : 1 - 135</t>
  </si>
  <si>
    <t>al-Anbiya : 1 - 112</t>
  </si>
  <si>
    <t>al-Hajj : 1 -78</t>
  </si>
  <si>
    <t>al-Mu'minuun : 1 - 118</t>
  </si>
  <si>
    <t>an-Nuur : 1 - 64</t>
  </si>
  <si>
    <t>asy-Syu'ara : 1 - 227</t>
  </si>
  <si>
    <t>al-Furqan : 1 - 20</t>
  </si>
  <si>
    <t>al-Furqan : 21 - 77</t>
  </si>
  <si>
    <t>an-Naml : 1 - 55</t>
  </si>
  <si>
    <t>an-Naml : 56 - 93</t>
  </si>
  <si>
    <t>al-Qashash : 1 - 88</t>
  </si>
  <si>
    <t>al-'Ankabut : 1 - 45</t>
  </si>
  <si>
    <t>al-'Ankabut : 46 - 69</t>
  </si>
  <si>
    <t>ar-Ruum : 1 - 60</t>
  </si>
  <si>
    <t>Luqman : 1 - 34</t>
  </si>
  <si>
    <t>as-Sajdah : 1 - 30</t>
  </si>
  <si>
    <t>al-Ahzab : 1 - 30</t>
  </si>
  <si>
    <t>al-Ahzab : 31 - 73</t>
  </si>
  <si>
    <t>Saba'</t>
  </si>
  <si>
    <t>Fathir</t>
  </si>
  <si>
    <t>Yasin : 1 - 27</t>
  </si>
  <si>
    <t>Yasin : 28 - 83</t>
  </si>
  <si>
    <t>ash-Shafat</t>
  </si>
  <si>
    <t>Shad</t>
  </si>
  <si>
    <t>az-Zumar : 1 - 31</t>
  </si>
  <si>
    <t>az-Zumar : 32 - 75</t>
  </si>
  <si>
    <t>Ghafir</t>
  </si>
  <si>
    <t>Fusshilat : 1 - 46</t>
  </si>
  <si>
    <t>Fusshilat : 47 - 54</t>
  </si>
  <si>
    <t>asy-Syuura</t>
  </si>
  <si>
    <t>az-Zukhruf</t>
  </si>
  <si>
    <t>ad-Dukhaan</t>
  </si>
  <si>
    <t>al-Jaatsiyah</t>
  </si>
  <si>
    <t>al-Ahqaf</t>
  </si>
  <si>
    <t>Muhammad</t>
  </si>
  <si>
    <t>al-Fath</t>
  </si>
  <si>
    <t>al-Hujuraat</t>
  </si>
  <si>
    <t>Qaaf</t>
  </si>
  <si>
    <t>adz-Dzaariyaat: 1 - 30</t>
  </si>
  <si>
    <t>adz-Dzaariyaat: 31 - 60</t>
  </si>
  <si>
    <t>ath-Thuur</t>
  </si>
  <si>
    <t>an-Najm</t>
  </si>
  <si>
    <t>al-Qomar</t>
  </si>
  <si>
    <t>ar-Rahman</t>
  </si>
  <si>
    <t>al-Waaqi'ah</t>
  </si>
  <si>
    <t>al-Hadiid</t>
  </si>
  <si>
    <t>al-Mujaadilah</t>
  </si>
  <si>
    <t>al-Hasyr</t>
  </si>
  <si>
    <t>al-Mumtahanah</t>
  </si>
  <si>
    <t>ash-Shaff</t>
  </si>
  <si>
    <t>al-Jumu'ah</t>
  </si>
  <si>
    <t>al-Munaafiquun</t>
  </si>
  <si>
    <t>at-Taghabun</t>
  </si>
  <si>
    <t>ath-Thalaq</t>
  </si>
  <si>
    <t>at-Tahriim</t>
  </si>
  <si>
    <t>al-Mulk</t>
  </si>
  <si>
    <t>al-Qolam</t>
  </si>
  <si>
    <t>al-Haaqqoh</t>
  </si>
  <si>
    <t>al-Ma'aarij</t>
  </si>
  <si>
    <t>Nuuh</t>
  </si>
  <si>
    <t>al-Jinn</t>
  </si>
  <si>
    <t>al-Muzzammil</t>
  </si>
  <si>
    <t>al-Muddatsir</t>
  </si>
  <si>
    <t>al-Qiyamah</t>
  </si>
  <si>
    <t>al-Insaan</t>
  </si>
  <si>
    <t>al-Mursalaat</t>
  </si>
  <si>
    <t>an-Nabaa</t>
  </si>
  <si>
    <t>an-Naazi'aat</t>
  </si>
  <si>
    <t>Abasa</t>
  </si>
  <si>
    <t>at-Takwiir</t>
  </si>
  <si>
    <t>al-Infithar</t>
  </si>
  <si>
    <t>al-Muthaffifiin</t>
  </si>
  <si>
    <t>al-Insyiqaq</t>
  </si>
  <si>
    <t>al-Buruuj</t>
  </si>
  <si>
    <t>ath-Thariq</t>
  </si>
  <si>
    <t>al-A'laa</t>
  </si>
  <si>
    <t>al-Ghasyiyah</t>
  </si>
  <si>
    <t>al-Fajr</t>
  </si>
  <si>
    <t>al-Balad</t>
  </si>
  <si>
    <t>asy-Syams</t>
  </si>
  <si>
    <t>al-Lail</t>
  </si>
  <si>
    <t>adh-Dhuhaa</t>
  </si>
  <si>
    <t>asy-Syarh</t>
  </si>
  <si>
    <t>at-Tiin</t>
  </si>
  <si>
    <t>al-'Alaq</t>
  </si>
  <si>
    <t>al-Qadr</t>
  </si>
  <si>
    <t>al-Bayyinah</t>
  </si>
  <si>
    <t>al-Zalzalah</t>
  </si>
  <si>
    <t>al-'Aadiyaat</t>
  </si>
  <si>
    <t>al-Qari'ah</t>
  </si>
  <si>
    <t>at-Takatsur</t>
  </si>
  <si>
    <t>al-'Ashr</t>
  </si>
  <si>
    <t>al-Humazah</t>
  </si>
  <si>
    <t>al-Fiil</t>
  </si>
  <si>
    <t>al-Quraisy</t>
  </si>
  <si>
    <t>al-Maa'uun</t>
  </si>
  <si>
    <t>al-Kautsar</t>
  </si>
  <si>
    <t>al-Kaafiruun</t>
  </si>
  <si>
    <t>an-Nashr</t>
  </si>
  <si>
    <t>al-Masad</t>
  </si>
  <si>
    <t>al-Ikhlash</t>
  </si>
  <si>
    <t>al-Falaq</t>
  </si>
  <si>
    <t>an-Naas</t>
  </si>
  <si>
    <t>Laporan Penilaian Hifzhul Qur'an</t>
  </si>
  <si>
    <t>Tahun Ajaran</t>
  </si>
  <si>
    <t>Nomor Induk Santri</t>
  </si>
  <si>
    <t>Kelas/Jenjang</t>
  </si>
  <si>
    <t>Semester</t>
  </si>
  <si>
    <t>K</t>
  </si>
  <si>
    <t>T</t>
  </si>
  <si>
    <t>Nilai Rata-rata</t>
  </si>
  <si>
    <t>Rerata</t>
  </si>
  <si>
    <t>No</t>
  </si>
  <si>
    <t>Nama</t>
  </si>
  <si>
    <t>Ranking</t>
  </si>
  <si>
    <t>Rekap Nilai Kelancaran Hifzhul Quran</t>
  </si>
  <si>
    <t>Kelancaran</t>
  </si>
  <si>
    <t>Tajwid</t>
  </si>
  <si>
    <t>Rekap Nilai</t>
  </si>
  <si>
    <t xml:space="preserve">Nama Santri </t>
  </si>
  <si>
    <t>1446-1447 H / 2025-2026 M</t>
  </si>
  <si>
    <t>GENAP</t>
  </si>
  <si>
    <t>PONDOK PESANTREN DAARUS SALAF</t>
  </si>
  <si>
    <t>Nomor Statistik Pondok Pesantren : 510033110106</t>
  </si>
  <si>
    <t>Sekretariat: Masjid Ibnu Taimiyyah, Jl. Pandawa, Karang RT 04 RW 07, Sanggrahan, Grogol, Sukoharjo.</t>
  </si>
  <si>
    <t>-</t>
  </si>
  <si>
    <t>Jumlah</t>
  </si>
  <si>
    <t>Hafalan</t>
  </si>
  <si>
    <t>*K : Kelancaran, T : Tajwid</t>
  </si>
  <si>
    <t>juz</t>
  </si>
  <si>
    <t>Rerata Nilai</t>
  </si>
  <si>
    <t>Jml. Hafalan</t>
  </si>
  <si>
    <t>POIN</t>
  </si>
  <si>
    <t>(JH)</t>
  </si>
  <si>
    <t>(RK)</t>
  </si>
  <si>
    <t>(10 x JH) + RK</t>
  </si>
  <si>
    <t>Berdasar</t>
  </si>
  <si>
    <t>Jml Haf + Kelancrn</t>
  </si>
  <si>
    <t>NISN</t>
  </si>
  <si>
    <t>Sukoharjo, 5 Maret 2026</t>
  </si>
  <si>
    <t>Alhamdulillaah, ananda sudah menghafal dari QS.</t>
  </si>
  <si>
    <t>5 / ULAA</t>
  </si>
  <si>
    <t>Ust. Abu Aufa Amin S.</t>
  </si>
  <si>
    <t>ABDULLOH ABBAS</t>
  </si>
  <si>
    <t>FALAH</t>
  </si>
  <si>
    <t>HAFIZH</t>
  </si>
  <si>
    <t>HARUN</t>
  </si>
  <si>
    <t>HASAN HAFIZHUDDIN</t>
  </si>
  <si>
    <t>IBROHIM AL ATSARY</t>
  </si>
  <si>
    <t>M. AUZAI ZIYAD</t>
  </si>
  <si>
    <t>MUHAMMAD FAKIH</t>
  </si>
  <si>
    <t>MUHAMMAD ILYAS</t>
  </si>
  <si>
    <t>YUNUS</t>
  </si>
  <si>
    <t>HAMZAH</t>
  </si>
  <si>
    <t>an-Naas hingga QS. Al Qomar</t>
  </si>
  <si>
    <t>an-Naas hingga QS. At Tholaq</t>
  </si>
  <si>
    <t>an-Naas hingga QS. Ghofir</t>
  </si>
  <si>
    <t xml:space="preserve">an-Naas hingga QS. Saba </t>
  </si>
  <si>
    <t>an-Naas hingga QS. Adz dzariyat</t>
  </si>
  <si>
    <t>an-Naas hingga QS. Al Muzammil</t>
  </si>
  <si>
    <t>an-Naas hingga QS. Al Ma'arij</t>
  </si>
  <si>
    <t>an-Naas hingga QS. Al Mudatsir</t>
  </si>
  <si>
    <t xml:space="preserve">an-Naas hingga QS. Al Haqqoh </t>
  </si>
  <si>
    <t>an-Naas hingga QS. Muhammad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</si>
</sst>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@\ * &quot;:&quot;"/>
    <numFmt numFmtId="166" formatCode="0.0"/>
  </numFmts>
  <fonts count="24" x14ac:knownFonts="1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4"/>
      <color theme="1"/>
      <name val="Algerian"/>
      <family val="5"/>
    </font>
    <font>
      <u/>
      <sz val="11"/>
      <color theme="1"/>
      <name val="Calibri"/>
      <family val="2"/>
      <charset val="1"/>
      <scheme val="minor"/>
    </font>
    <font>
      <sz val="20"/>
      <color rgb="FF000000"/>
      <name val="Bernard MT Condensed"/>
      <family val="1"/>
    </font>
    <font>
      <sz val="11"/>
      <color theme="1"/>
      <name val="Britannic Bold"/>
      <family val="2"/>
    </font>
    <font>
      <sz val="11"/>
      <color theme="1"/>
      <name val="Agency FB"/>
      <family val="2"/>
    </font>
    <font>
      <u/>
      <sz val="16"/>
      <color theme="1"/>
      <name val="Old English Text MT"/>
      <family val="4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charset val="1"/>
      <scheme val="minor"/>
    </font>
    <font>
      <sz val="11"/>
      <color rgb="FF7030A0"/>
      <name val="Calibri"/>
      <family val="2"/>
      <charset val="1"/>
      <scheme val="minor"/>
    </font>
    <font>
      <sz val="11"/>
      <color rgb="FF0070C0"/>
      <name val="Calibri"/>
      <family val="2"/>
      <charset val="1"/>
      <scheme val="minor"/>
    </font>
    <font>
      <sz val="11"/>
      <color rgb="FF92D050"/>
      <name val="Calibri"/>
      <family val="2"/>
      <charset val="1"/>
      <scheme val="minor"/>
    </font>
    <font>
      <sz val="11"/>
      <color theme="9" tint="-0.249977111117893"/>
      <name val="Calibri"/>
      <family val="2"/>
      <charset val="1"/>
      <scheme val="minor"/>
    </font>
    <font>
      <sz val="11"/>
      <color rgb="FF00B050"/>
      <name val="Calibri"/>
      <family val="2"/>
      <charset val="1"/>
      <scheme val="minor"/>
    </font>
    <font>
      <sz val="12"/>
      <color theme="1"/>
      <name val="Agency FB"/>
      <family val="2"/>
    </font>
    <font>
      <sz val="11"/>
      <color rgb="FFFF0000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  <font>
      <u/>
      <sz val="18"/>
      <color theme="1"/>
      <name val="Bernard MT Condensed"/>
      <family val="1"/>
    </font>
    <font>
      <sz val="11"/>
      <color theme="4" tint="-0.499984740745262"/>
      <name val="Calibri"/>
      <family val="2"/>
      <charset val="1"/>
      <scheme val="minor"/>
    </font>
    <font>
      <sz val="11"/>
      <color theme="1"/>
      <name val="Pristina"/>
      <family val="4"/>
    </font>
    <font>
      <sz val="11"/>
      <color rgb="FF000000"/>
      <name val="Pristina"/>
      <family val="4"/>
    </font>
    <font>
      <sz val="10"/>
      <color rgb="FFFF0000"/>
      <name val="Calibri"/>
      <family val="2"/>
      <charset val="1"/>
      <scheme val="minor"/>
    </font>
    <font>
      <sz val="10"/>
      <color theme="0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/>
      <diagonal/>
    </border>
    <border>
      <left style="double">
        <color rgb="FF00B050"/>
      </left>
      <right style="double">
        <color rgb="FF00B050"/>
      </right>
      <top/>
      <bottom style="double">
        <color rgb="FF00B050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7" tint="-0.24994659260841701"/>
      </left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/>
    <xf numFmtId="0" fontId="0" fillId="0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4" fontId="0" fillId="0" borderId="9" xfId="0" applyNumberForma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quotePrefix="1" applyFont="1"/>
    <xf numFmtId="0" fontId="17" fillId="0" borderId="0" xfId="0" applyFont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20" xfId="0" applyFont="1" applyFill="1" applyBorder="1" applyAlignment="1">
      <alignment horizontal="right" vertical="center"/>
    </xf>
    <xf numFmtId="0" fontId="16" fillId="2" borderId="21" xfId="0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164" fontId="19" fillId="3" borderId="19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0" xfId="0" applyFont="1" applyFill="1"/>
    <xf numFmtId="0" fontId="19" fillId="4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4" borderId="26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164" fontId="19" fillId="4" borderId="19" xfId="0" applyNumberFormat="1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/>
    </xf>
    <xf numFmtId="0" fontId="19" fillId="3" borderId="32" xfId="0" applyFont="1" applyFill="1" applyBorder="1" applyAlignment="1">
      <alignment horizontal="center" vertical="center"/>
    </xf>
    <xf numFmtId="0" fontId="19" fillId="4" borderId="27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left"/>
    </xf>
    <xf numFmtId="0" fontId="23" fillId="5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27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504825</xdr:colOff>
      <xdr:row>4</xdr:row>
      <xdr:rowOff>47625</xdr:rowOff>
    </xdr:from>
    <xdr:to>
      <xdr:col>24</xdr:col>
      <xdr:colOff>180975</xdr:colOff>
      <xdr:row>8</xdr:row>
      <xdr:rowOff>171450</xdr:rowOff>
    </xdr:to>
    <xdr:sp macro="" textlink="">
      <xdr:nvSpPr>
        <xdr:cNvPr id="2" name="Down Arrow Callout 1"/>
        <xdr:cNvSpPr/>
      </xdr:nvSpPr>
      <xdr:spPr>
        <a:xfrm>
          <a:off x="9705975" y="1057275"/>
          <a:ext cx="1438275" cy="1066800"/>
        </a:xfrm>
        <a:prstGeom prst="downArrowCallout">
          <a:avLst>
            <a:gd name="adj1" fmla="val 20790"/>
            <a:gd name="adj2" fmla="val 25000"/>
            <a:gd name="adj3" fmla="val 25000"/>
            <a:gd name="adj4" fmla="val 6293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  <a:latin typeface="+mn-lt"/>
            </a:rPr>
            <a:t>Mohon tidak diubah-ubah. Maturnuwun.</a:t>
          </a:r>
          <a:endParaRPr lang="id-ID" sz="1100">
            <a:solidFill>
              <a:schemeClr val="tx1"/>
            </a:solidFill>
            <a:latin typeface="+mn-lt"/>
          </a:endParaRPr>
        </a:p>
      </xdr:txBody>
    </xdr:sp>
    <xdr:clientData/>
  </xdr:twoCellAnchor>
  <xdr:twoCellAnchor editAs="oneCell">
    <xdr:from>
      <xdr:col>7</xdr:col>
      <xdr:colOff>323850</xdr:colOff>
      <xdr:row>4</xdr:row>
      <xdr:rowOff>76200</xdr:rowOff>
    </xdr:from>
    <xdr:to>
      <xdr:col>7</xdr:col>
      <xdr:colOff>1114425</xdr:colOff>
      <xdr:row>5</xdr:row>
      <xdr:rowOff>43622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028700"/>
          <a:ext cx="790575" cy="28174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19049</xdr:rowOff>
    </xdr:from>
    <xdr:to>
      <xdr:col>17</xdr:col>
      <xdr:colOff>9525</xdr:colOff>
      <xdr:row>4</xdr:row>
      <xdr:rowOff>28574</xdr:rowOff>
    </xdr:to>
    <xdr:sp macro="" textlink="">
      <xdr:nvSpPr>
        <xdr:cNvPr id="1025" name="Straight Connector 12"/>
        <xdr:cNvSpPr>
          <a:spLocks noChangeShapeType="1"/>
        </xdr:cNvSpPr>
      </xdr:nvSpPr>
      <xdr:spPr bwMode="auto">
        <a:xfrm>
          <a:off x="19050" y="1000124"/>
          <a:ext cx="7543800" cy="9525"/>
        </a:xfrm>
        <a:prstGeom prst="line">
          <a:avLst/>
        </a:prstGeom>
        <a:noFill/>
        <a:ln w="63500" cmpd="thickThin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19050</xdr:rowOff>
    </xdr:from>
    <xdr:to>
      <xdr:col>11</xdr:col>
      <xdr:colOff>28575</xdr:colOff>
      <xdr:row>1</xdr:row>
      <xdr:rowOff>8963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9050"/>
          <a:ext cx="2809875" cy="313763"/>
        </a:xfrm>
        <a:prstGeom prst="rect">
          <a:avLst/>
        </a:prstGeom>
      </xdr:spPr>
    </xdr:pic>
    <xdr:clientData/>
  </xdr:twoCellAnchor>
  <xdr:twoCellAnchor editAs="oneCell">
    <xdr:from>
      <xdr:col>1</xdr:col>
      <xdr:colOff>28883</xdr:colOff>
      <xdr:row>0</xdr:row>
      <xdr:rowOff>38102</xdr:rowOff>
    </xdr:from>
    <xdr:to>
      <xdr:col>1</xdr:col>
      <xdr:colOff>847725</xdr:colOff>
      <xdr:row>3</xdr:row>
      <xdr:rowOff>124144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08" y="38102"/>
          <a:ext cx="818842" cy="905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57</xdr:row>
      <xdr:rowOff>107460</xdr:rowOff>
    </xdr:from>
    <xdr:to>
      <xdr:col>16</xdr:col>
      <xdr:colOff>171450</xdr:colOff>
      <xdr:row>61</xdr:row>
      <xdr:rowOff>133350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11937510"/>
          <a:ext cx="2028825" cy="8640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4</xdr:row>
      <xdr:rowOff>0</xdr:rowOff>
    </xdr:from>
    <xdr:to>
      <xdr:col>26</xdr:col>
      <xdr:colOff>123825</xdr:colOff>
      <xdr:row>8</xdr:row>
      <xdr:rowOff>123825</xdr:rowOff>
    </xdr:to>
    <xdr:sp macro="" textlink="">
      <xdr:nvSpPr>
        <xdr:cNvPr id="2" name="Down Arrow Callout 1"/>
        <xdr:cNvSpPr/>
      </xdr:nvSpPr>
      <xdr:spPr>
        <a:xfrm>
          <a:off x="10277475" y="1009650"/>
          <a:ext cx="1438275" cy="1066800"/>
        </a:xfrm>
        <a:prstGeom prst="downArrowCallout">
          <a:avLst>
            <a:gd name="adj1" fmla="val 20790"/>
            <a:gd name="adj2" fmla="val 25000"/>
            <a:gd name="adj3" fmla="val 25000"/>
            <a:gd name="adj4" fmla="val 5043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rgbClr val="FF0000"/>
              </a:solidFill>
              <a:latin typeface="+mn-lt"/>
            </a:rPr>
            <a:t>Jangan diotak-atik, njih .....</a:t>
          </a:r>
        </a:p>
      </xdr:txBody>
    </xdr:sp>
    <xdr:clientData/>
  </xdr:twoCellAnchor>
  <xdr:twoCellAnchor editAs="oneCell">
    <xdr:from>
      <xdr:col>7</xdr:col>
      <xdr:colOff>323850</xdr:colOff>
      <xdr:row>4</xdr:row>
      <xdr:rowOff>76200</xdr:rowOff>
    </xdr:from>
    <xdr:to>
      <xdr:col>7</xdr:col>
      <xdr:colOff>1114425</xdr:colOff>
      <xdr:row>5</xdr:row>
      <xdr:rowOff>43622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085850"/>
          <a:ext cx="790575" cy="28174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19049</xdr:rowOff>
    </xdr:from>
    <xdr:to>
      <xdr:col>17</xdr:col>
      <xdr:colOff>9525</xdr:colOff>
      <xdr:row>4</xdr:row>
      <xdr:rowOff>28574</xdr:rowOff>
    </xdr:to>
    <xdr:sp macro="" textlink="">
      <xdr:nvSpPr>
        <xdr:cNvPr id="4" name="Straight Connector 12"/>
        <xdr:cNvSpPr>
          <a:spLocks noChangeShapeType="1"/>
        </xdr:cNvSpPr>
      </xdr:nvSpPr>
      <xdr:spPr bwMode="auto">
        <a:xfrm>
          <a:off x="19050" y="1028699"/>
          <a:ext cx="7677150" cy="9525"/>
        </a:xfrm>
        <a:prstGeom prst="line">
          <a:avLst/>
        </a:prstGeom>
        <a:noFill/>
        <a:ln w="63500" cmpd="thickThin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19050</xdr:rowOff>
    </xdr:from>
    <xdr:to>
      <xdr:col>11</xdr:col>
      <xdr:colOff>28575</xdr:colOff>
      <xdr:row>1</xdr:row>
      <xdr:rowOff>8963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9050"/>
          <a:ext cx="2809875" cy="313763"/>
        </a:xfrm>
        <a:prstGeom prst="rect">
          <a:avLst/>
        </a:prstGeom>
      </xdr:spPr>
    </xdr:pic>
    <xdr:clientData/>
  </xdr:twoCellAnchor>
  <xdr:twoCellAnchor editAs="oneCell">
    <xdr:from>
      <xdr:col>1</xdr:col>
      <xdr:colOff>28883</xdr:colOff>
      <xdr:row>0</xdr:row>
      <xdr:rowOff>38102</xdr:rowOff>
    </xdr:from>
    <xdr:to>
      <xdr:col>1</xdr:col>
      <xdr:colOff>847725</xdr:colOff>
      <xdr:row>3</xdr:row>
      <xdr:rowOff>124144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08" y="38102"/>
          <a:ext cx="818842" cy="905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57</xdr:row>
      <xdr:rowOff>107460</xdr:rowOff>
    </xdr:from>
    <xdr:to>
      <xdr:col>16</xdr:col>
      <xdr:colOff>171450</xdr:colOff>
      <xdr:row>61</xdr:row>
      <xdr:rowOff>133350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11937510"/>
          <a:ext cx="2028825" cy="8640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4</xdr:row>
      <xdr:rowOff>0</xdr:rowOff>
    </xdr:from>
    <xdr:to>
      <xdr:col>26</xdr:col>
      <xdr:colOff>123825</xdr:colOff>
      <xdr:row>8</xdr:row>
      <xdr:rowOff>123825</xdr:rowOff>
    </xdr:to>
    <xdr:sp macro="" textlink="">
      <xdr:nvSpPr>
        <xdr:cNvPr id="2" name="Down Arrow Callout 1"/>
        <xdr:cNvSpPr/>
      </xdr:nvSpPr>
      <xdr:spPr>
        <a:xfrm>
          <a:off x="10277475" y="1009650"/>
          <a:ext cx="1438275" cy="1066800"/>
        </a:xfrm>
        <a:prstGeom prst="downArrowCallout">
          <a:avLst>
            <a:gd name="adj1" fmla="val 20790"/>
            <a:gd name="adj2" fmla="val 25000"/>
            <a:gd name="adj3" fmla="val 25000"/>
            <a:gd name="adj4" fmla="val 5043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rgbClr val="FF0000"/>
              </a:solidFill>
              <a:latin typeface="+mn-lt"/>
            </a:rPr>
            <a:t>Jangan diotak-atik, njih .....</a:t>
          </a:r>
        </a:p>
      </xdr:txBody>
    </xdr:sp>
    <xdr:clientData/>
  </xdr:twoCellAnchor>
  <xdr:twoCellAnchor editAs="oneCell">
    <xdr:from>
      <xdr:col>7</xdr:col>
      <xdr:colOff>323850</xdr:colOff>
      <xdr:row>4</xdr:row>
      <xdr:rowOff>76200</xdr:rowOff>
    </xdr:from>
    <xdr:to>
      <xdr:col>7</xdr:col>
      <xdr:colOff>1114425</xdr:colOff>
      <xdr:row>5</xdr:row>
      <xdr:rowOff>43622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085850"/>
          <a:ext cx="790575" cy="28174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19049</xdr:rowOff>
    </xdr:from>
    <xdr:to>
      <xdr:col>17</xdr:col>
      <xdr:colOff>9525</xdr:colOff>
      <xdr:row>4</xdr:row>
      <xdr:rowOff>28574</xdr:rowOff>
    </xdr:to>
    <xdr:sp macro="" textlink="">
      <xdr:nvSpPr>
        <xdr:cNvPr id="4" name="Straight Connector 12"/>
        <xdr:cNvSpPr>
          <a:spLocks noChangeShapeType="1"/>
        </xdr:cNvSpPr>
      </xdr:nvSpPr>
      <xdr:spPr bwMode="auto">
        <a:xfrm>
          <a:off x="19050" y="1028699"/>
          <a:ext cx="7677150" cy="9525"/>
        </a:xfrm>
        <a:prstGeom prst="line">
          <a:avLst/>
        </a:prstGeom>
        <a:noFill/>
        <a:ln w="63500" cmpd="thickThin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19050</xdr:rowOff>
    </xdr:from>
    <xdr:to>
      <xdr:col>11</xdr:col>
      <xdr:colOff>28575</xdr:colOff>
      <xdr:row>1</xdr:row>
      <xdr:rowOff>8963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9050"/>
          <a:ext cx="2809875" cy="313763"/>
        </a:xfrm>
        <a:prstGeom prst="rect">
          <a:avLst/>
        </a:prstGeom>
      </xdr:spPr>
    </xdr:pic>
    <xdr:clientData/>
  </xdr:twoCellAnchor>
  <xdr:twoCellAnchor editAs="oneCell">
    <xdr:from>
      <xdr:col>1</xdr:col>
      <xdr:colOff>28883</xdr:colOff>
      <xdr:row>0</xdr:row>
      <xdr:rowOff>38102</xdr:rowOff>
    </xdr:from>
    <xdr:to>
      <xdr:col>1</xdr:col>
      <xdr:colOff>847725</xdr:colOff>
      <xdr:row>3</xdr:row>
      <xdr:rowOff>124144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08" y="38102"/>
          <a:ext cx="818842" cy="905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57</xdr:row>
      <xdr:rowOff>107460</xdr:rowOff>
    </xdr:from>
    <xdr:to>
      <xdr:col>16</xdr:col>
      <xdr:colOff>171450</xdr:colOff>
      <xdr:row>61</xdr:row>
      <xdr:rowOff>133350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11937510"/>
          <a:ext cx="2028825" cy="8640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4</xdr:row>
      <xdr:rowOff>0</xdr:rowOff>
    </xdr:from>
    <xdr:to>
      <xdr:col>26</xdr:col>
      <xdr:colOff>123825</xdr:colOff>
      <xdr:row>8</xdr:row>
      <xdr:rowOff>123825</xdr:rowOff>
    </xdr:to>
    <xdr:sp macro="" textlink="">
      <xdr:nvSpPr>
        <xdr:cNvPr id="2" name="Down Arrow Callout 1"/>
        <xdr:cNvSpPr/>
      </xdr:nvSpPr>
      <xdr:spPr>
        <a:xfrm>
          <a:off x="10277475" y="1009650"/>
          <a:ext cx="1438275" cy="1066800"/>
        </a:xfrm>
        <a:prstGeom prst="downArrowCallout">
          <a:avLst>
            <a:gd name="adj1" fmla="val 20790"/>
            <a:gd name="adj2" fmla="val 25000"/>
            <a:gd name="adj3" fmla="val 25000"/>
            <a:gd name="adj4" fmla="val 5043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rgbClr val="FF0000"/>
              </a:solidFill>
              <a:latin typeface="+mn-lt"/>
            </a:rPr>
            <a:t>Jangan diotak-atik, njih .....</a:t>
          </a:r>
        </a:p>
      </xdr:txBody>
    </xdr:sp>
    <xdr:clientData/>
  </xdr:twoCellAnchor>
  <xdr:twoCellAnchor editAs="oneCell">
    <xdr:from>
      <xdr:col>7</xdr:col>
      <xdr:colOff>323850</xdr:colOff>
      <xdr:row>4</xdr:row>
      <xdr:rowOff>76200</xdr:rowOff>
    </xdr:from>
    <xdr:to>
      <xdr:col>7</xdr:col>
      <xdr:colOff>1114425</xdr:colOff>
      <xdr:row>5</xdr:row>
      <xdr:rowOff>43622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085850"/>
          <a:ext cx="790575" cy="28174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19049</xdr:rowOff>
    </xdr:from>
    <xdr:to>
      <xdr:col>17</xdr:col>
      <xdr:colOff>9525</xdr:colOff>
      <xdr:row>4</xdr:row>
      <xdr:rowOff>28574</xdr:rowOff>
    </xdr:to>
    <xdr:sp macro="" textlink="">
      <xdr:nvSpPr>
        <xdr:cNvPr id="4" name="Straight Connector 12"/>
        <xdr:cNvSpPr>
          <a:spLocks noChangeShapeType="1"/>
        </xdr:cNvSpPr>
      </xdr:nvSpPr>
      <xdr:spPr bwMode="auto">
        <a:xfrm>
          <a:off x="19050" y="1028699"/>
          <a:ext cx="7677150" cy="9525"/>
        </a:xfrm>
        <a:prstGeom prst="line">
          <a:avLst/>
        </a:prstGeom>
        <a:noFill/>
        <a:ln w="63500" cmpd="thickThin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19050</xdr:rowOff>
    </xdr:from>
    <xdr:to>
      <xdr:col>11</xdr:col>
      <xdr:colOff>28575</xdr:colOff>
      <xdr:row>1</xdr:row>
      <xdr:rowOff>8963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9050"/>
          <a:ext cx="2809875" cy="313763"/>
        </a:xfrm>
        <a:prstGeom prst="rect">
          <a:avLst/>
        </a:prstGeom>
      </xdr:spPr>
    </xdr:pic>
    <xdr:clientData/>
  </xdr:twoCellAnchor>
  <xdr:twoCellAnchor editAs="oneCell">
    <xdr:from>
      <xdr:col>1</xdr:col>
      <xdr:colOff>28883</xdr:colOff>
      <xdr:row>0</xdr:row>
      <xdr:rowOff>38102</xdr:rowOff>
    </xdr:from>
    <xdr:to>
      <xdr:col>1</xdr:col>
      <xdr:colOff>847725</xdr:colOff>
      <xdr:row>3</xdr:row>
      <xdr:rowOff>124144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08" y="38102"/>
          <a:ext cx="818842" cy="905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57</xdr:row>
      <xdr:rowOff>107460</xdr:rowOff>
    </xdr:from>
    <xdr:to>
      <xdr:col>16</xdr:col>
      <xdr:colOff>171450</xdr:colOff>
      <xdr:row>61</xdr:row>
      <xdr:rowOff>133350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11937510"/>
          <a:ext cx="2028825" cy="8640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4</xdr:row>
      <xdr:rowOff>0</xdr:rowOff>
    </xdr:from>
    <xdr:to>
      <xdr:col>26</xdr:col>
      <xdr:colOff>123825</xdr:colOff>
      <xdr:row>8</xdr:row>
      <xdr:rowOff>123825</xdr:rowOff>
    </xdr:to>
    <xdr:sp macro="" textlink="">
      <xdr:nvSpPr>
        <xdr:cNvPr id="2" name="Down Arrow Callout 1"/>
        <xdr:cNvSpPr/>
      </xdr:nvSpPr>
      <xdr:spPr>
        <a:xfrm>
          <a:off x="10277475" y="1009650"/>
          <a:ext cx="1438275" cy="1066800"/>
        </a:xfrm>
        <a:prstGeom prst="downArrowCallout">
          <a:avLst>
            <a:gd name="adj1" fmla="val 20790"/>
            <a:gd name="adj2" fmla="val 25000"/>
            <a:gd name="adj3" fmla="val 25000"/>
            <a:gd name="adj4" fmla="val 5043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rgbClr val="FF0000"/>
              </a:solidFill>
              <a:latin typeface="+mn-lt"/>
            </a:rPr>
            <a:t>Jangan diotak-atik, njih .....</a:t>
          </a:r>
        </a:p>
      </xdr:txBody>
    </xdr:sp>
    <xdr:clientData/>
  </xdr:twoCellAnchor>
  <xdr:twoCellAnchor editAs="oneCell">
    <xdr:from>
      <xdr:col>7</xdr:col>
      <xdr:colOff>323850</xdr:colOff>
      <xdr:row>4</xdr:row>
      <xdr:rowOff>76200</xdr:rowOff>
    </xdr:from>
    <xdr:to>
      <xdr:col>7</xdr:col>
      <xdr:colOff>1114425</xdr:colOff>
      <xdr:row>5</xdr:row>
      <xdr:rowOff>43622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085850"/>
          <a:ext cx="790575" cy="28174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19049</xdr:rowOff>
    </xdr:from>
    <xdr:to>
      <xdr:col>17</xdr:col>
      <xdr:colOff>9525</xdr:colOff>
      <xdr:row>4</xdr:row>
      <xdr:rowOff>28574</xdr:rowOff>
    </xdr:to>
    <xdr:sp macro="" textlink="">
      <xdr:nvSpPr>
        <xdr:cNvPr id="4" name="Straight Connector 12"/>
        <xdr:cNvSpPr>
          <a:spLocks noChangeShapeType="1"/>
        </xdr:cNvSpPr>
      </xdr:nvSpPr>
      <xdr:spPr bwMode="auto">
        <a:xfrm>
          <a:off x="19050" y="1028699"/>
          <a:ext cx="7677150" cy="9525"/>
        </a:xfrm>
        <a:prstGeom prst="line">
          <a:avLst/>
        </a:prstGeom>
        <a:noFill/>
        <a:ln w="63500" cmpd="thickThin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19050</xdr:rowOff>
    </xdr:from>
    <xdr:to>
      <xdr:col>11</xdr:col>
      <xdr:colOff>28575</xdr:colOff>
      <xdr:row>1</xdr:row>
      <xdr:rowOff>8963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9050"/>
          <a:ext cx="2809875" cy="313763"/>
        </a:xfrm>
        <a:prstGeom prst="rect">
          <a:avLst/>
        </a:prstGeom>
      </xdr:spPr>
    </xdr:pic>
    <xdr:clientData/>
  </xdr:twoCellAnchor>
  <xdr:twoCellAnchor editAs="oneCell">
    <xdr:from>
      <xdr:col>1</xdr:col>
      <xdr:colOff>28883</xdr:colOff>
      <xdr:row>0</xdr:row>
      <xdr:rowOff>38102</xdr:rowOff>
    </xdr:from>
    <xdr:to>
      <xdr:col>1</xdr:col>
      <xdr:colOff>847725</xdr:colOff>
      <xdr:row>3</xdr:row>
      <xdr:rowOff>124144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08" y="38102"/>
          <a:ext cx="818842" cy="905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57</xdr:row>
      <xdr:rowOff>107460</xdr:rowOff>
    </xdr:from>
    <xdr:to>
      <xdr:col>16</xdr:col>
      <xdr:colOff>171450</xdr:colOff>
      <xdr:row>61</xdr:row>
      <xdr:rowOff>133350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11937510"/>
          <a:ext cx="2028825" cy="8640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4</xdr:row>
      <xdr:rowOff>0</xdr:rowOff>
    </xdr:from>
    <xdr:to>
      <xdr:col>26</xdr:col>
      <xdr:colOff>123825</xdr:colOff>
      <xdr:row>8</xdr:row>
      <xdr:rowOff>123825</xdr:rowOff>
    </xdr:to>
    <xdr:sp macro="" textlink="">
      <xdr:nvSpPr>
        <xdr:cNvPr id="2" name="Down Arrow Callout 1"/>
        <xdr:cNvSpPr/>
      </xdr:nvSpPr>
      <xdr:spPr>
        <a:xfrm>
          <a:off x="10277475" y="1009650"/>
          <a:ext cx="1438275" cy="1066800"/>
        </a:xfrm>
        <a:prstGeom prst="downArrowCallout">
          <a:avLst>
            <a:gd name="adj1" fmla="val 20790"/>
            <a:gd name="adj2" fmla="val 25000"/>
            <a:gd name="adj3" fmla="val 25000"/>
            <a:gd name="adj4" fmla="val 5043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rgbClr val="FF0000"/>
              </a:solidFill>
              <a:latin typeface="+mn-lt"/>
            </a:rPr>
            <a:t>Jangan diotak-atik, njih .....</a:t>
          </a:r>
        </a:p>
      </xdr:txBody>
    </xdr:sp>
    <xdr:clientData/>
  </xdr:twoCellAnchor>
  <xdr:twoCellAnchor editAs="oneCell">
    <xdr:from>
      <xdr:col>7</xdr:col>
      <xdr:colOff>323850</xdr:colOff>
      <xdr:row>4</xdr:row>
      <xdr:rowOff>76200</xdr:rowOff>
    </xdr:from>
    <xdr:to>
      <xdr:col>7</xdr:col>
      <xdr:colOff>1114425</xdr:colOff>
      <xdr:row>5</xdr:row>
      <xdr:rowOff>43622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085850"/>
          <a:ext cx="790575" cy="28174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19049</xdr:rowOff>
    </xdr:from>
    <xdr:to>
      <xdr:col>17</xdr:col>
      <xdr:colOff>9525</xdr:colOff>
      <xdr:row>4</xdr:row>
      <xdr:rowOff>28574</xdr:rowOff>
    </xdr:to>
    <xdr:sp macro="" textlink="">
      <xdr:nvSpPr>
        <xdr:cNvPr id="4" name="Straight Connector 12"/>
        <xdr:cNvSpPr>
          <a:spLocks noChangeShapeType="1"/>
        </xdr:cNvSpPr>
      </xdr:nvSpPr>
      <xdr:spPr bwMode="auto">
        <a:xfrm>
          <a:off x="19050" y="1028699"/>
          <a:ext cx="7677150" cy="9525"/>
        </a:xfrm>
        <a:prstGeom prst="line">
          <a:avLst/>
        </a:prstGeom>
        <a:noFill/>
        <a:ln w="63500" cmpd="thickThin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19050</xdr:rowOff>
    </xdr:from>
    <xdr:to>
      <xdr:col>11</xdr:col>
      <xdr:colOff>28575</xdr:colOff>
      <xdr:row>1</xdr:row>
      <xdr:rowOff>8963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9050"/>
          <a:ext cx="2809875" cy="313763"/>
        </a:xfrm>
        <a:prstGeom prst="rect">
          <a:avLst/>
        </a:prstGeom>
      </xdr:spPr>
    </xdr:pic>
    <xdr:clientData/>
  </xdr:twoCellAnchor>
  <xdr:twoCellAnchor editAs="oneCell">
    <xdr:from>
      <xdr:col>1</xdr:col>
      <xdr:colOff>28883</xdr:colOff>
      <xdr:row>0</xdr:row>
      <xdr:rowOff>38102</xdr:rowOff>
    </xdr:from>
    <xdr:to>
      <xdr:col>1</xdr:col>
      <xdr:colOff>847725</xdr:colOff>
      <xdr:row>3</xdr:row>
      <xdr:rowOff>124144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08" y="38102"/>
          <a:ext cx="818842" cy="905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57</xdr:row>
      <xdr:rowOff>107460</xdr:rowOff>
    </xdr:from>
    <xdr:to>
      <xdr:col>16</xdr:col>
      <xdr:colOff>171450</xdr:colOff>
      <xdr:row>61</xdr:row>
      <xdr:rowOff>133350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11937510"/>
          <a:ext cx="2028825" cy="8640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4</xdr:row>
      <xdr:rowOff>0</xdr:rowOff>
    </xdr:from>
    <xdr:to>
      <xdr:col>26</xdr:col>
      <xdr:colOff>123825</xdr:colOff>
      <xdr:row>8</xdr:row>
      <xdr:rowOff>123825</xdr:rowOff>
    </xdr:to>
    <xdr:sp macro="" textlink="">
      <xdr:nvSpPr>
        <xdr:cNvPr id="2" name="Down Arrow Callout 1"/>
        <xdr:cNvSpPr/>
      </xdr:nvSpPr>
      <xdr:spPr>
        <a:xfrm>
          <a:off x="10277475" y="1009650"/>
          <a:ext cx="1438275" cy="1066800"/>
        </a:xfrm>
        <a:prstGeom prst="downArrowCallout">
          <a:avLst>
            <a:gd name="adj1" fmla="val 20790"/>
            <a:gd name="adj2" fmla="val 25000"/>
            <a:gd name="adj3" fmla="val 25000"/>
            <a:gd name="adj4" fmla="val 5043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rgbClr val="FF0000"/>
              </a:solidFill>
              <a:latin typeface="+mn-lt"/>
            </a:rPr>
            <a:t>Jangan diotak-atik, njih .....</a:t>
          </a:r>
        </a:p>
      </xdr:txBody>
    </xdr:sp>
    <xdr:clientData/>
  </xdr:twoCellAnchor>
  <xdr:twoCellAnchor editAs="oneCell">
    <xdr:from>
      <xdr:col>7</xdr:col>
      <xdr:colOff>323850</xdr:colOff>
      <xdr:row>4</xdr:row>
      <xdr:rowOff>76200</xdr:rowOff>
    </xdr:from>
    <xdr:to>
      <xdr:col>7</xdr:col>
      <xdr:colOff>1114425</xdr:colOff>
      <xdr:row>5</xdr:row>
      <xdr:rowOff>43622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085850"/>
          <a:ext cx="790575" cy="28174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19049</xdr:rowOff>
    </xdr:from>
    <xdr:to>
      <xdr:col>17</xdr:col>
      <xdr:colOff>9525</xdr:colOff>
      <xdr:row>4</xdr:row>
      <xdr:rowOff>28574</xdr:rowOff>
    </xdr:to>
    <xdr:sp macro="" textlink="">
      <xdr:nvSpPr>
        <xdr:cNvPr id="4" name="Straight Connector 12"/>
        <xdr:cNvSpPr>
          <a:spLocks noChangeShapeType="1"/>
        </xdr:cNvSpPr>
      </xdr:nvSpPr>
      <xdr:spPr bwMode="auto">
        <a:xfrm>
          <a:off x="19050" y="1028699"/>
          <a:ext cx="7677150" cy="9525"/>
        </a:xfrm>
        <a:prstGeom prst="line">
          <a:avLst/>
        </a:prstGeom>
        <a:noFill/>
        <a:ln w="63500" cmpd="thickThin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19050</xdr:rowOff>
    </xdr:from>
    <xdr:to>
      <xdr:col>11</xdr:col>
      <xdr:colOff>28575</xdr:colOff>
      <xdr:row>1</xdr:row>
      <xdr:rowOff>8963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9050"/>
          <a:ext cx="2809875" cy="313763"/>
        </a:xfrm>
        <a:prstGeom prst="rect">
          <a:avLst/>
        </a:prstGeom>
      </xdr:spPr>
    </xdr:pic>
    <xdr:clientData/>
  </xdr:twoCellAnchor>
  <xdr:twoCellAnchor editAs="oneCell">
    <xdr:from>
      <xdr:col>1</xdr:col>
      <xdr:colOff>28883</xdr:colOff>
      <xdr:row>0</xdr:row>
      <xdr:rowOff>38102</xdr:rowOff>
    </xdr:from>
    <xdr:to>
      <xdr:col>1</xdr:col>
      <xdr:colOff>847725</xdr:colOff>
      <xdr:row>3</xdr:row>
      <xdr:rowOff>124144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08" y="38102"/>
          <a:ext cx="818842" cy="905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57</xdr:row>
      <xdr:rowOff>107460</xdr:rowOff>
    </xdr:from>
    <xdr:to>
      <xdr:col>16</xdr:col>
      <xdr:colOff>171450</xdr:colOff>
      <xdr:row>61</xdr:row>
      <xdr:rowOff>133350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11937510"/>
          <a:ext cx="2028825" cy="8640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4</xdr:row>
      <xdr:rowOff>0</xdr:rowOff>
    </xdr:from>
    <xdr:to>
      <xdr:col>26</xdr:col>
      <xdr:colOff>123825</xdr:colOff>
      <xdr:row>8</xdr:row>
      <xdr:rowOff>123825</xdr:rowOff>
    </xdr:to>
    <xdr:sp macro="" textlink="">
      <xdr:nvSpPr>
        <xdr:cNvPr id="2" name="Down Arrow Callout 1"/>
        <xdr:cNvSpPr/>
      </xdr:nvSpPr>
      <xdr:spPr>
        <a:xfrm>
          <a:off x="10277475" y="1009650"/>
          <a:ext cx="1438275" cy="1066800"/>
        </a:xfrm>
        <a:prstGeom prst="downArrowCallout">
          <a:avLst>
            <a:gd name="adj1" fmla="val 20790"/>
            <a:gd name="adj2" fmla="val 25000"/>
            <a:gd name="adj3" fmla="val 25000"/>
            <a:gd name="adj4" fmla="val 5043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rgbClr val="FF0000"/>
              </a:solidFill>
              <a:latin typeface="+mn-lt"/>
            </a:rPr>
            <a:t>Jangan diotak-atik, njih .....</a:t>
          </a:r>
        </a:p>
      </xdr:txBody>
    </xdr:sp>
    <xdr:clientData/>
  </xdr:twoCellAnchor>
  <xdr:twoCellAnchor editAs="oneCell">
    <xdr:from>
      <xdr:col>7</xdr:col>
      <xdr:colOff>323850</xdr:colOff>
      <xdr:row>4</xdr:row>
      <xdr:rowOff>76200</xdr:rowOff>
    </xdr:from>
    <xdr:to>
      <xdr:col>7</xdr:col>
      <xdr:colOff>1114425</xdr:colOff>
      <xdr:row>5</xdr:row>
      <xdr:rowOff>43622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085850"/>
          <a:ext cx="790575" cy="28174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19049</xdr:rowOff>
    </xdr:from>
    <xdr:to>
      <xdr:col>17</xdr:col>
      <xdr:colOff>9525</xdr:colOff>
      <xdr:row>4</xdr:row>
      <xdr:rowOff>28574</xdr:rowOff>
    </xdr:to>
    <xdr:sp macro="" textlink="">
      <xdr:nvSpPr>
        <xdr:cNvPr id="4" name="Straight Connector 12"/>
        <xdr:cNvSpPr>
          <a:spLocks noChangeShapeType="1"/>
        </xdr:cNvSpPr>
      </xdr:nvSpPr>
      <xdr:spPr bwMode="auto">
        <a:xfrm>
          <a:off x="19050" y="1028699"/>
          <a:ext cx="7677150" cy="9525"/>
        </a:xfrm>
        <a:prstGeom prst="line">
          <a:avLst/>
        </a:prstGeom>
        <a:noFill/>
        <a:ln w="63500" cmpd="thickThin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19050</xdr:rowOff>
    </xdr:from>
    <xdr:to>
      <xdr:col>11</xdr:col>
      <xdr:colOff>28575</xdr:colOff>
      <xdr:row>1</xdr:row>
      <xdr:rowOff>8963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9050"/>
          <a:ext cx="2809875" cy="313763"/>
        </a:xfrm>
        <a:prstGeom prst="rect">
          <a:avLst/>
        </a:prstGeom>
      </xdr:spPr>
    </xdr:pic>
    <xdr:clientData/>
  </xdr:twoCellAnchor>
  <xdr:twoCellAnchor editAs="oneCell">
    <xdr:from>
      <xdr:col>1</xdr:col>
      <xdr:colOff>28883</xdr:colOff>
      <xdr:row>0</xdr:row>
      <xdr:rowOff>38102</xdr:rowOff>
    </xdr:from>
    <xdr:to>
      <xdr:col>1</xdr:col>
      <xdr:colOff>847725</xdr:colOff>
      <xdr:row>3</xdr:row>
      <xdr:rowOff>124144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08" y="38102"/>
          <a:ext cx="818842" cy="905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57</xdr:row>
      <xdr:rowOff>107460</xdr:rowOff>
    </xdr:from>
    <xdr:to>
      <xdr:col>16</xdr:col>
      <xdr:colOff>171450</xdr:colOff>
      <xdr:row>61</xdr:row>
      <xdr:rowOff>133350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11937510"/>
          <a:ext cx="2028825" cy="8640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4</xdr:row>
      <xdr:rowOff>0</xdr:rowOff>
    </xdr:from>
    <xdr:to>
      <xdr:col>26</xdr:col>
      <xdr:colOff>123825</xdr:colOff>
      <xdr:row>8</xdr:row>
      <xdr:rowOff>123825</xdr:rowOff>
    </xdr:to>
    <xdr:sp macro="" textlink="">
      <xdr:nvSpPr>
        <xdr:cNvPr id="2" name="Down Arrow Callout 1"/>
        <xdr:cNvSpPr/>
      </xdr:nvSpPr>
      <xdr:spPr>
        <a:xfrm>
          <a:off x="10277475" y="1009650"/>
          <a:ext cx="1438275" cy="1066800"/>
        </a:xfrm>
        <a:prstGeom prst="downArrowCallout">
          <a:avLst>
            <a:gd name="adj1" fmla="val 20790"/>
            <a:gd name="adj2" fmla="val 25000"/>
            <a:gd name="adj3" fmla="val 25000"/>
            <a:gd name="adj4" fmla="val 5043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rgbClr val="FF0000"/>
              </a:solidFill>
              <a:latin typeface="+mn-lt"/>
            </a:rPr>
            <a:t>Jangan diotak-atik, njih .....</a:t>
          </a:r>
        </a:p>
      </xdr:txBody>
    </xdr:sp>
    <xdr:clientData/>
  </xdr:twoCellAnchor>
  <xdr:twoCellAnchor editAs="oneCell">
    <xdr:from>
      <xdr:col>7</xdr:col>
      <xdr:colOff>323850</xdr:colOff>
      <xdr:row>4</xdr:row>
      <xdr:rowOff>76200</xdr:rowOff>
    </xdr:from>
    <xdr:to>
      <xdr:col>7</xdr:col>
      <xdr:colOff>1114425</xdr:colOff>
      <xdr:row>5</xdr:row>
      <xdr:rowOff>43622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085850"/>
          <a:ext cx="790575" cy="28174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19049</xdr:rowOff>
    </xdr:from>
    <xdr:to>
      <xdr:col>17</xdr:col>
      <xdr:colOff>9525</xdr:colOff>
      <xdr:row>4</xdr:row>
      <xdr:rowOff>28574</xdr:rowOff>
    </xdr:to>
    <xdr:sp macro="" textlink="">
      <xdr:nvSpPr>
        <xdr:cNvPr id="4" name="Straight Connector 12"/>
        <xdr:cNvSpPr>
          <a:spLocks noChangeShapeType="1"/>
        </xdr:cNvSpPr>
      </xdr:nvSpPr>
      <xdr:spPr bwMode="auto">
        <a:xfrm>
          <a:off x="19050" y="1028699"/>
          <a:ext cx="7677150" cy="9525"/>
        </a:xfrm>
        <a:prstGeom prst="line">
          <a:avLst/>
        </a:prstGeom>
        <a:noFill/>
        <a:ln w="63500" cmpd="thickThin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19050</xdr:rowOff>
    </xdr:from>
    <xdr:to>
      <xdr:col>11</xdr:col>
      <xdr:colOff>28575</xdr:colOff>
      <xdr:row>1</xdr:row>
      <xdr:rowOff>8963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9050"/>
          <a:ext cx="2809875" cy="313763"/>
        </a:xfrm>
        <a:prstGeom prst="rect">
          <a:avLst/>
        </a:prstGeom>
      </xdr:spPr>
    </xdr:pic>
    <xdr:clientData/>
  </xdr:twoCellAnchor>
  <xdr:twoCellAnchor editAs="oneCell">
    <xdr:from>
      <xdr:col>1</xdr:col>
      <xdr:colOff>28883</xdr:colOff>
      <xdr:row>0</xdr:row>
      <xdr:rowOff>38102</xdr:rowOff>
    </xdr:from>
    <xdr:to>
      <xdr:col>1</xdr:col>
      <xdr:colOff>847725</xdr:colOff>
      <xdr:row>3</xdr:row>
      <xdr:rowOff>124144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08" y="38102"/>
          <a:ext cx="818842" cy="905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57</xdr:row>
      <xdr:rowOff>107460</xdr:rowOff>
    </xdr:from>
    <xdr:to>
      <xdr:col>16</xdr:col>
      <xdr:colOff>171450</xdr:colOff>
      <xdr:row>61</xdr:row>
      <xdr:rowOff>133350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11937510"/>
          <a:ext cx="2028825" cy="8640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4</xdr:row>
      <xdr:rowOff>0</xdr:rowOff>
    </xdr:from>
    <xdr:to>
      <xdr:col>26</xdr:col>
      <xdr:colOff>123825</xdr:colOff>
      <xdr:row>8</xdr:row>
      <xdr:rowOff>123825</xdr:rowOff>
    </xdr:to>
    <xdr:sp macro="" textlink="">
      <xdr:nvSpPr>
        <xdr:cNvPr id="2" name="Down Arrow Callout 1"/>
        <xdr:cNvSpPr/>
      </xdr:nvSpPr>
      <xdr:spPr>
        <a:xfrm>
          <a:off x="10277475" y="1009650"/>
          <a:ext cx="1438275" cy="1066800"/>
        </a:xfrm>
        <a:prstGeom prst="downArrowCallout">
          <a:avLst>
            <a:gd name="adj1" fmla="val 20790"/>
            <a:gd name="adj2" fmla="val 25000"/>
            <a:gd name="adj3" fmla="val 25000"/>
            <a:gd name="adj4" fmla="val 5043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rgbClr val="FF0000"/>
              </a:solidFill>
              <a:latin typeface="+mn-lt"/>
            </a:rPr>
            <a:t>Jangan diotak-atik, njih .....</a:t>
          </a:r>
        </a:p>
      </xdr:txBody>
    </xdr:sp>
    <xdr:clientData/>
  </xdr:twoCellAnchor>
  <xdr:twoCellAnchor editAs="oneCell">
    <xdr:from>
      <xdr:col>7</xdr:col>
      <xdr:colOff>323850</xdr:colOff>
      <xdr:row>4</xdr:row>
      <xdr:rowOff>76200</xdr:rowOff>
    </xdr:from>
    <xdr:to>
      <xdr:col>7</xdr:col>
      <xdr:colOff>1114425</xdr:colOff>
      <xdr:row>5</xdr:row>
      <xdr:rowOff>43622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085850"/>
          <a:ext cx="790575" cy="28174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19049</xdr:rowOff>
    </xdr:from>
    <xdr:to>
      <xdr:col>17</xdr:col>
      <xdr:colOff>9525</xdr:colOff>
      <xdr:row>4</xdr:row>
      <xdr:rowOff>28574</xdr:rowOff>
    </xdr:to>
    <xdr:sp macro="" textlink="">
      <xdr:nvSpPr>
        <xdr:cNvPr id="4" name="Straight Connector 12"/>
        <xdr:cNvSpPr>
          <a:spLocks noChangeShapeType="1"/>
        </xdr:cNvSpPr>
      </xdr:nvSpPr>
      <xdr:spPr bwMode="auto">
        <a:xfrm>
          <a:off x="19050" y="1028699"/>
          <a:ext cx="7677150" cy="9525"/>
        </a:xfrm>
        <a:prstGeom prst="line">
          <a:avLst/>
        </a:prstGeom>
        <a:noFill/>
        <a:ln w="63500" cmpd="thickThin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19050</xdr:rowOff>
    </xdr:from>
    <xdr:to>
      <xdr:col>11</xdr:col>
      <xdr:colOff>28575</xdr:colOff>
      <xdr:row>1</xdr:row>
      <xdr:rowOff>8963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9050"/>
          <a:ext cx="2809875" cy="313763"/>
        </a:xfrm>
        <a:prstGeom prst="rect">
          <a:avLst/>
        </a:prstGeom>
      </xdr:spPr>
    </xdr:pic>
    <xdr:clientData/>
  </xdr:twoCellAnchor>
  <xdr:twoCellAnchor editAs="oneCell">
    <xdr:from>
      <xdr:col>1</xdr:col>
      <xdr:colOff>28883</xdr:colOff>
      <xdr:row>0</xdr:row>
      <xdr:rowOff>38102</xdr:rowOff>
    </xdr:from>
    <xdr:to>
      <xdr:col>1</xdr:col>
      <xdr:colOff>847725</xdr:colOff>
      <xdr:row>3</xdr:row>
      <xdr:rowOff>124144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08" y="38102"/>
          <a:ext cx="818842" cy="905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57</xdr:row>
      <xdr:rowOff>107460</xdr:rowOff>
    </xdr:from>
    <xdr:to>
      <xdr:col>16</xdr:col>
      <xdr:colOff>171450</xdr:colOff>
      <xdr:row>61</xdr:row>
      <xdr:rowOff>133350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11937510"/>
          <a:ext cx="2028825" cy="86409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257175</xdr:colOff>
      <xdr:row>4</xdr:row>
      <xdr:rowOff>0</xdr:rowOff>
    </xdr:from>
    <xdr:to>
      <xdr:col>26</xdr:col>
      <xdr:colOff>123825</xdr:colOff>
      <xdr:row>8</xdr:row>
      <xdr:rowOff>123825</xdr:rowOff>
    </xdr:to>
    <xdr:sp macro="" textlink="">
      <xdr:nvSpPr>
        <xdr:cNvPr id="2" name="Down Arrow Callout 1"/>
        <xdr:cNvSpPr/>
      </xdr:nvSpPr>
      <xdr:spPr>
        <a:xfrm>
          <a:off x="10277475" y="1009650"/>
          <a:ext cx="1438275" cy="1066800"/>
        </a:xfrm>
        <a:prstGeom prst="downArrowCallout">
          <a:avLst>
            <a:gd name="adj1" fmla="val 20790"/>
            <a:gd name="adj2" fmla="val 25000"/>
            <a:gd name="adj3" fmla="val 25000"/>
            <a:gd name="adj4" fmla="val 5043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>
              <a:solidFill>
                <a:srgbClr val="FF0000"/>
              </a:solidFill>
              <a:latin typeface="+mn-lt"/>
            </a:rPr>
            <a:t>Jangan diotak-atik, njih .....</a:t>
          </a:r>
        </a:p>
      </xdr:txBody>
    </xdr:sp>
    <xdr:clientData/>
  </xdr:twoCellAnchor>
  <xdr:twoCellAnchor editAs="oneCell">
    <xdr:from>
      <xdr:col>7</xdr:col>
      <xdr:colOff>323850</xdr:colOff>
      <xdr:row>4</xdr:row>
      <xdr:rowOff>76200</xdr:rowOff>
    </xdr:from>
    <xdr:to>
      <xdr:col>7</xdr:col>
      <xdr:colOff>1114425</xdr:colOff>
      <xdr:row>5</xdr:row>
      <xdr:rowOff>43622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0" y="1085850"/>
          <a:ext cx="790575" cy="28174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19049</xdr:rowOff>
    </xdr:from>
    <xdr:to>
      <xdr:col>17</xdr:col>
      <xdr:colOff>9525</xdr:colOff>
      <xdr:row>4</xdr:row>
      <xdr:rowOff>28574</xdr:rowOff>
    </xdr:to>
    <xdr:sp macro="" textlink="">
      <xdr:nvSpPr>
        <xdr:cNvPr id="4" name="Straight Connector 12"/>
        <xdr:cNvSpPr>
          <a:spLocks noChangeShapeType="1"/>
        </xdr:cNvSpPr>
      </xdr:nvSpPr>
      <xdr:spPr bwMode="auto">
        <a:xfrm>
          <a:off x="19050" y="1028699"/>
          <a:ext cx="7677150" cy="9525"/>
        </a:xfrm>
        <a:prstGeom prst="line">
          <a:avLst/>
        </a:prstGeom>
        <a:noFill/>
        <a:ln w="63500" cmpd="thickThin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190500</xdr:colOff>
      <xdr:row>0</xdr:row>
      <xdr:rowOff>19050</xdr:rowOff>
    </xdr:from>
    <xdr:to>
      <xdr:col>11</xdr:col>
      <xdr:colOff>28575</xdr:colOff>
      <xdr:row>1</xdr:row>
      <xdr:rowOff>8963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9050"/>
          <a:ext cx="2809875" cy="313763"/>
        </a:xfrm>
        <a:prstGeom prst="rect">
          <a:avLst/>
        </a:prstGeom>
      </xdr:spPr>
    </xdr:pic>
    <xdr:clientData/>
  </xdr:twoCellAnchor>
  <xdr:twoCellAnchor editAs="oneCell">
    <xdr:from>
      <xdr:col>1</xdr:col>
      <xdr:colOff>28883</xdr:colOff>
      <xdr:row>0</xdr:row>
      <xdr:rowOff>38102</xdr:rowOff>
    </xdr:from>
    <xdr:to>
      <xdr:col>1</xdr:col>
      <xdr:colOff>847725</xdr:colOff>
      <xdr:row>3</xdr:row>
      <xdr:rowOff>124144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208" y="38102"/>
          <a:ext cx="818842" cy="905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57</xdr:row>
      <xdr:rowOff>107460</xdr:rowOff>
    </xdr:from>
    <xdr:to>
      <xdr:col>16</xdr:col>
      <xdr:colOff>171450</xdr:colOff>
      <xdr:row>61</xdr:row>
      <xdr:rowOff>133350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11937510"/>
          <a:ext cx="2028825" cy="8640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1</xdr:row>
      <xdr:rowOff>66674</xdr:rowOff>
    </xdr:from>
    <xdr:to>
      <xdr:col>3</xdr:col>
      <xdr:colOff>247650</xdr:colOff>
      <xdr:row>4</xdr:row>
      <xdr:rowOff>104775</xdr:rowOff>
    </xdr:to>
    <xdr:sp macro="" textlink="">
      <xdr:nvSpPr>
        <xdr:cNvPr id="2" name="Down Arrow Callout 1"/>
        <xdr:cNvSpPr/>
      </xdr:nvSpPr>
      <xdr:spPr>
        <a:xfrm>
          <a:off x="857250" y="581024"/>
          <a:ext cx="1533525" cy="847726"/>
        </a:xfrm>
        <a:prstGeom prst="downArrowCallout">
          <a:avLst>
            <a:gd name="adj1" fmla="val 33254"/>
            <a:gd name="adj2" fmla="val 41981"/>
            <a:gd name="adj3" fmla="val 12692"/>
            <a:gd name="adj4" fmla="val 7820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id-ID" sz="1100" baseline="0">
              <a:solidFill>
                <a:schemeClr val="tx1"/>
              </a:solidFill>
              <a:latin typeface="+mn-lt"/>
            </a:rPr>
            <a:t>Data s</a:t>
          </a:r>
          <a:r>
            <a:rPr lang="id-ID" sz="1100">
              <a:solidFill>
                <a:schemeClr val="tx1"/>
              </a:solidFill>
              <a:latin typeface="+mn-lt"/>
            </a:rPr>
            <a:t>udah</a:t>
          </a:r>
          <a:r>
            <a:rPr lang="id-ID" sz="1100" baseline="0">
              <a:solidFill>
                <a:schemeClr val="tx1"/>
              </a:solidFill>
              <a:latin typeface="+mn-lt"/>
            </a:rPr>
            <a:t> otomatis.</a:t>
          </a:r>
        </a:p>
        <a:p>
          <a:pPr algn="ctr"/>
          <a:r>
            <a:rPr lang="en-ID" sz="1100" baseline="0">
              <a:solidFill>
                <a:schemeClr val="tx1"/>
              </a:solidFill>
              <a:latin typeface="+mn-lt"/>
            </a:rPr>
            <a:t>Mohon</a:t>
          </a:r>
          <a:r>
            <a:rPr lang="id-ID" sz="1100" baseline="0">
              <a:solidFill>
                <a:schemeClr val="tx1"/>
              </a:solidFill>
              <a:latin typeface="+mn-lt"/>
            </a:rPr>
            <a:t> </a:t>
          </a:r>
          <a:r>
            <a:rPr lang="en-ID" sz="1100" baseline="0">
              <a:solidFill>
                <a:schemeClr val="tx1"/>
              </a:solidFill>
              <a:latin typeface="+mn-lt"/>
            </a:rPr>
            <a:t>tidak</a:t>
          </a:r>
          <a:r>
            <a:rPr lang="id-ID" sz="1100">
              <a:solidFill>
                <a:schemeClr val="tx1"/>
              </a:solidFill>
              <a:latin typeface="+mn-lt"/>
            </a:rPr>
            <a:t> d</a:t>
          </a:r>
          <a:r>
            <a:rPr lang="en-ID" sz="1100">
              <a:solidFill>
                <a:schemeClr val="tx1"/>
              </a:solidFill>
              <a:latin typeface="+mn-lt"/>
            </a:rPr>
            <a:t>iisi</a:t>
          </a:r>
          <a:r>
            <a:rPr lang="id-ID" sz="1100">
              <a:solidFill>
                <a:schemeClr val="tx1"/>
              </a:solidFill>
              <a:latin typeface="+mn-lt"/>
            </a:rPr>
            <a:t> </a:t>
          </a:r>
          <a:r>
            <a:rPr lang="en-ID" sz="1100">
              <a:solidFill>
                <a:schemeClr val="tx1"/>
              </a:solidFill>
              <a:latin typeface="+mn-lt"/>
            </a:rPr>
            <a:t>data apapun</a:t>
          </a:r>
          <a:r>
            <a:rPr lang="id-ID" sz="1100">
              <a:solidFill>
                <a:schemeClr val="tx1"/>
              </a:solidFill>
              <a:latin typeface="+mn-lt"/>
            </a:rPr>
            <a:t>, njih 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6"/>
  <sheetViews>
    <sheetView topLeftCell="A38" zoomScaleNormal="100" workbookViewId="0">
      <selection activeCell="S41" sqref="S41"/>
    </sheetView>
  </sheetViews>
  <sheetFormatPr defaultRowHeight="15" x14ac:dyDescent="0.25"/>
  <cols>
    <col min="1" max="1" width="4.7109375" style="1" customWidth="1"/>
    <col min="2" max="2" width="16.7109375" customWidth="1"/>
    <col min="3" max="3" width="6.7109375" customWidth="1"/>
    <col min="4" max="5" width="4.7109375" style="1" customWidth="1"/>
    <col min="6" max="6" width="2.28515625" customWidth="1"/>
    <col min="7" max="7" width="4.7109375" style="1" customWidth="1"/>
    <col min="8" max="8" width="18.7109375" customWidth="1"/>
    <col min="9" max="9" width="4.7109375" customWidth="1"/>
    <col min="10" max="11" width="4.7109375" style="1" customWidth="1"/>
    <col min="12" max="12" width="2.28515625" customWidth="1"/>
    <col min="13" max="13" width="4.7109375" style="1" customWidth="1"/>
    <col min="14" max="15" width="10.7109375" customWidth="1"/>
    <col min="16" max="17" width="4.7109375" style="1" customWidth="1"/>
    <col min="20" max="20" width="4.42578125" style="5" customWidth="1"/>
    <col min="21" max="21" width="12.28515625" style="31" customWidth="1"/>
    <col min="22" max="39" width="4.7109375" style="30" customWidth="1"/>
    <col min="40" max="51" width="4.7109375" style="5" customWidth="1"/>
    <col min="52" max="52" width="9.140625" style="5"/>
  </cols>
  <sheetData>
    <row r="1" spans="1:52" ht="25.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52" ht="21" customHeight="1" x14ac:dyDescent="0.25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52" ht="18" customHeight="1" x14ac:dyDescent="0.25">
      <c r="A3" s="77" t="s">
        <v>158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52" ht="15" customHeight="1" x14ac:dyDescent="0.25">
      <c r="A4" s="78" t="s">
        <v>159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52" ht="24.75" customHeight="1" x14ac:dyDescent="0.25"/>
    <row r="6" spans="1:52" ht="20.100000000000001" customHeight="1" x14ac:dyDescent="0.3">
      <c r="A6" s="79" t="s">
        <v>138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</row>
    <row r="7" spans="1:52" ht="15" customHeight="1" x14ac:dyDescent="0.25">
      <c r="A7" s="91" t="s">
        <v>154</v>
      </c>
      <c r="B7" s="91"/>
      <c r="C7" s="9" t="s">
        <v>178</v>
      </c>
      <c r="D7" s="16"/>
      <c r="E7" s="16"/>
      <c r="F7" s="1"/>
      <c r="J7" s="16"/>
      <c r="M7" s="92" t="s">
        <v>139</v>
      </c>
      <c r="N7" s="92"/>
      <c r="O7" s="10" t="s">
        <v>155</v>
      </c>
    </row>
    <row r="8" spans="1:52" ht="15" customHeight="1" x14ac:dyDescent="0.25">
      <c r="A8" s="91" t="s">
        <v>140</v>
      </c>
      <c r="B8" s="91"/>
      <c r="C8" s="9">
        <v>2101102</v>
      </c>
      <c r="D8" s="16"/>
      <c r="E8" s="16"/>
      <c r="F8" s="1"/>
      <c r="J8" s="16"/>
      <c r="M8" s="92" t="s">
        <v>141</v>
      </c>
      <c r="N8" s="92"/>
      <c r="O8" s="10" t="s">
        <v>176</v>
      </c>
    </row>
    <row r="9" spans="1:52" ht="15" customHeight="1" x14ac:dyDescent="0.25">
      <c r="A9" s="91" t="s">
        <v>173</v>
      </c>
      <c r="B9" s="91"/>
      <c r="C9" s="38" t="s">
        <v>160</v>
      </c>
      <c r="D9" s="16"/>
      <c r="E9" s="16"/>
      <c r="F9" s="1"/>
      <c r="I9" s="8"/>
      <c r="J9" s="16"/>
      <c r="K9" s="6"/>
      <c r="L9" s="8"/>
      <c r="M9" s="92" t="s">
        <v>142</v>
      </c>
      <c r="N9" s="92"/>
      <c r="O9" s="10" t="s">
        <v>156</v>
      </c>
      <c r="P9" s="6"/>
      <c r="Q9" s="6"/>
    </row>
    <row r="10" spans="1:52" ht="4.5" customHeight="1" thickBot="1" x14ac:dyDescent="0.3"/>
    <row r="11" spans="1:52" ht="16.5" thickTop="1" thickBot="1" x14ac:dyDescent="0.3">
      <c r="A11" s="81" t="s">
        <v>0</v>
      </c>
      <c r="B11" s="81" t="s">
        <v>1</v>
      </c>
      <c r="C11" s="81"/>
      <c r="D11" s="81" t="s">
        <v>2</v>
      </c>
      <c r="E11" s="81"/>
      <c r="F11" s="19"/>
      <c r="G11" s="81" t="s">
        <v>0</v>
      </c>
      <c r="H11" s="81" t="s">
        <v>1</v>
      </c>
      <c r="I11" s="81"/>
      <c r="J11" s="81" t="s">
        <v>2</v>
      </c>
      <c r="K11" s="81"/>
      <c r="L11" s="19"/>
      <c r="M11" s="81" t="s">
        <v>0</v>
      </c>
      <c r="N11" s="81" t="s">
        <v>1</v>
      </c>
      <c r="O11" s="81"/>
      <c r="P11" s="81" t="s">
        <v>2</v>
      </c>
      <c r="Q11" s="81"/>
      <c r="U11" s="89"/>
      <c r="V11" s="88" t="s">
        <v>153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 t="s">
        <v>146</v>
      </c>
    </row>
    <row r="12" spans="1:52" ht="12" customHeight="1" thickTop="1" thickBot="1" x14ac:dyDescent="0.3">
      <c r="A12" s="81"/>
      <c r="B12" s="81"/>
      <c r="C12" s="81"/>
      <c r="D12" s="20" t="s">
        <v>143</v>
      </c>
      <c r="E12" s="20" t="s">
        <v>144</v>
      </c>
      <c r="F12" s="19"/>
      <c r="G12" s="81"/>
      <c r="H12" s="81"/>
      <c r="I12" s="81"/>
      <c r="J12" s="20" t="s">
        <v>143</v>
      </c>
      <c r="K12" s="20" t="s">
        <v>144</v>
      </c>
      <c r="L12" s="19"/>
      <c r="M12" s="81"/>
      <c r="N12" s="81"/>
      <c r="O12" s="81"/>
      <c r="P12" s="20" t="s">
        <v>143</v>
      </c>
      <c r="Q12" s="20" t="s">
        <v>144</v>
      </c>
      <c r="U12" s="90"/>
      <c r="V12" s="33">
        <v>1</v>
      </c>
      <c r="W12" s="33">
        <v>2</v>
      </c>
      <c r="X12" s="33">
        <v>3</v>
      </c>
      <c r="Y12" s="33">
        <v>4</v>
      </c>
      <c r="Z12" s="33">
        <v>5</v>
      </c>
      <c r="AA12" s="33">
        <v>6</v>
      </c>
      <c r="AB12" s="33">
        <v>7</v>
      </c>
      <c r="AC12" s="33">
        <v>8</v>
      </c>
      <c r="AD12" s="33">
        <v>9</v>
      </c>
      <c r="AE12" s="33">
        <v>10</v>
      </c>
      <c r="AF12" s="33">
        <v>11</v>
      </c>
      <c r="AG12" s="33">
        <v>12</v>
      </c>
      <c r="AH12" s="33">
        <v>13</v>
      </c>
      <c r="AI12" s="33">
        <v>14</v>
      </c>
      <c r="AJ12" s="33">
        <v>15</v>
      </c>
      <c r="AK12" s="33">
        <v>16</v>
      </c>
      <c r="AL12" s="33">
        <v>17</v>
      </c>
      <c r="AM12" s="33">
        <v>18</v>
      </c>
      <c r="AN12" s="33">
        <v>19</v>
      </c>
      <c r="AO12" s="33">
        <v>20</v>
      </c>
      <c r="AP12" s="33">
        <v>21</v>
      </c>
      <c r="AQ12" s="33">
        <v>22</v>
      </c>
      <c r="AR12" s="33">
        <v>23</v>
      </c>
      <c r="AS12" s="33">
        <v>24</v>
      </c>
      <c r="AT12" s="33">
        <v>25</v>
      </c>
      <c r="AU12" s="33">
        <v>26</v>
      </c>
      <c r="AV12" s="33">
        <v>27</v>
      </c>
      <c r="AW12" s="33">
        <v>28</v>
      </c>
      <c r="AX12" s="33">
        <v>29</v>
      </c>
      <c r="AY12" s="33">
        <v>30</v>
      </c>
      <c r="AZ12" s="88"/>
    </row>
    <row r="13" spans="1:52" ht="3.75" customHeight="1" thickTop="1" thickBot="1" x14ac:dyDescent="0.3"/>
    <row r="14" spans="1:52" s="11" customFormat="1" ht="17.100000000000001" customHeight="1" thickBot="1" x14ac:dyDescent="0.3">
      <c r="A14" s="70">
        <v>1</v>
      </c>
      <c r="B14" s="73" t="s">
        <v>3</v>
      </c>
      <c r="C14" s="73"/>
      <c r="D14" s="72"/>
      <c r="E14" s="72"/>
      <c r="G14" s="70">
        <v>22</v>
      </c>
      <c r="H14" s="73" t="s">
        <v>52</v>
      </c>
      <c r="I14" s="73"/>
      <c r="J14" s="72"/>
      <c r="K14" s="72"/>
      <c r="M14" s="70">
        <v>30</v>
      </c>
      <c r="N14" s="73" t="s">
        <v>101</v>
      </c>
      <c r="O14" s="73"/>
      <c r="P14" s="70">
        <v>90</v>
      </c>
      <c r="Q14" s="70">
        <v>70</v>
      </c>
      <c r="T14" s="29"/>
      <c r="U14" s="34" t="s">
        <v>151</v>
      </c>
      <c r="V14" s="33">
        <f>D14</f>
        <v>0</v>
      </c>
      <c r="W14" s="33">
        <f>D16</f>
        <v>0</v>
      </c>
      <c r="X14" s="33">
        <f>D17</f>
        <v>0</v>
      </c>
      <c r="Y14" s="33">
        <f>D19</f>
        <v>0</v>
      </c>
      <c r="Z14" s="33">
        <f>D21</f>
        <v>0</v>
      </c>
      <c r="AA14" s="33">
        <f>D22</f>
        <v>0</v>
      </c>
      <c r="AB14" s="33">
        <f>D24</f>
        <v>0</v>
      </c>
      <c r="AC14" s="33">
        <f>D26</f>
        <v>0</v>
      </c>
      <c r="AD14" s="33">
        <f>D28</f>
        <v>0</v>
      </c>
      <c r="AE14" s="33">
        <f>D30</f>
        <v>0</v>
      </c>
      <c r="AF14" s="33">
        <f>D32</f>
        <v>0</v>
      </c>
      <c r="AG14" s="33">
        <f>D35</f>
        <v>0</v>
      </c>
      <c r="AH14" s="33">
        <f>D37</f>
        <v>0</v>
      </c>
      <c r="AI14" s="33">
        <f>D40</f>
        <v>0</v>
      </c>
      <c r="AJ14" s="33">
        <f>D42</f>
        <v>0</v>
      </c>
      <c r="AK14" s="33">
        <f>D44</f>
        <v>0</v>
      </c>
      <c r="AL14" s="33">
        <f>D47</f>
        <v>0</v>
      </c>
      <c r="AM14" s="33">
        <f>D49</f>
        <v>0</v>
      </c>
      <c r="AN14" s="33">
        <f>D52</f>
        <v>0</v>
      </c>
      <c r="AO14" s="33">
        <f>D55</f>
        <v>0</v>
      </c>
      <c r="AP14" s="33">
        <f>D58</f>
        <v>0</v>
      </c>
      <c r="AQ14" s="33">
        <f>J14</f>
        <v>0</v>
      </c>
      <c r="AR14" s="33">
        <f>J18</f>
        <v>0</v>
      </c>
      <c r="AS14" s="33">
        <f>J22</f>
        <v>0</v>
      </c>
      <c r="AT14" s="33">
        <f>J25</f>
        <v>0</v>
      </c>
      <c r="AU14" s="33">
        <f>J30</f>
        <v>0</v>
      </c>
      <c r="AV14" s="33">
        <f>J36</f>
        <v>90</v>
      </c>
      <c r="AW14" s="33">
        <f>J43</f>
        <v>82</v>
      </c>
      <c r="AX14" s="33">
        <f>J52</f>
        <v>90</v>
      </c>
      <c r="AY14" s="33">
        <f>P14</f>
        <v>90</v>
      </c>
      <c r="AZ14" s="35">
        <f>AVERAGEIF(V14:AY14,"&gt;0")</f>
        <v>88</v>
      </c>
    </row>
    <row r="15" spans="1:52" s="11" customFormat="1" ht="17.100000000000001" customHeight="1" thickBot="1" x14ac:dyDescent="0.3">
      <c r="A15" s="70"/>
      <c r="B15" s="73" t="s">
        <v>4</v>
      </c>
      <c r="C15" s="73"/>
      <c r="D15" s="72"/>
      <c r="E15" s="72"/>
      <c r="G15" s="70"/>
      <c r="H15" s="73" t="s">
        <v>53</v>
      </c>
      <c r="I15" s="73"/>
      <c r="J15" s="72"/>
      <c r="K15" s="72"/>
      <c r="M15" s="70"/>
      <c r="N15" s="73" t="s">
        <v>102</v>
      </c>
      <c r="O15" s="73"/>
      <c r="P15" s="70"/>
      <c r="Q15" s="70"/>
      <c r="T15" s="29"/>
      <c r="U15" s="34" t="s">
        <v>152</v>
      </c>
      <c r="V15" s="33">
        <f>E14</f>
        <v>0</v>
      </c>
      <c r="W15" s="33">
        <f>E16</f>
        <v>0</v>
      </c>
      <c r="X15" s="33">
        <f>E17</f>
        <v>0</v>
      </c>
      <c r="Y15" s="33">
        <f>E19</f>
        <v>0</v>
      </c>
      <c r="Z15" s="33">
        <f>E21</f>
        <v>0</v>
      </c>
      <c r="AA15" s="33">
        <f>E22</f>
        <v>0</v>
      </c>
      <c r="AB15" s="33">
        <f>E24</f>
        <v>0</v>
      </c>
      <c r="AC15" s="33">
        <f>E26</f>
        <v>0</v>
      </c>
      <c r="AD15" s="33">
        <f>E28</f>
        <v>0</v>
      </c>
      <c r="AE15" s="33">
        <f>E30</f>
        <v>0</v>
      </c>
      <c r="AF15" s="33">
        <f>E32</f>
        <v>0</v>
      </c>
      <c r="AG15" s="33">
        <f>E35</f>
        <v>0</v>
      </c>
      <c r="AH15" s="33">
        <f>E37</f>
        <v>0</v>
      </c>
      <c r="AI15" s="33">
        <f>E40</f>
        <v>0</v>
      </c>
      <c r="AJ15" s="33">
        <f>E42</f>
        <v>0</v>
      </c>
      <c r="AK15" s="33">
        <f>E44</f>
        <v>0</v>
      </c>
      <c r="AL15" s="33">
        <f>E47</f>
        <v>0</v>
      </c>
      <c r="AM15" s="33">
        <f>E49</f>
        <v>0</v>
      </c>
      <c r="AN15" s="33">
        <f>E52</f>
        <v>0</v>
      </c>
      <c r="AO15" s="33">
        <f>E55</f>
        <v>0</v>
      </c>
      <c r="AP15" s="33">
        <f>E58</f>
        <v>0</v>
      </c>
      <c r="AQ15" s="33">
        <f>K14</f>
        <v>0</v>
      </c>
      <c r="AR15" s="33">
        <f>K18</f>
        <v>0</v>
      </c>
      <c r="AS15" s="33">
        <f>K22</f>
        <v>0</v>
      </c>
      <c r="AT15" s="33">
        <f>K25</f>
        <v>0</v>
      </c>
      <c r="AU15" s="33">
        <f>K30</f>
        <v>0</v>
      </c>
      <c r="AV15" s="33">
        <f>K36</f>
        <v>70</v>
      </c>
      <c r="AW15" s="33">
        <f>K43</f>
        <v>70</v>
      </c>
      <c r="AX15" s="33">
        <f>K52</f>
        <v>70</v>
      </c>
      <c r="AY15" s="33">
        <f>Q14</f>
        <v>70</v>
      </c>
      <c r="AZ15" s="35">
        <f>AVERAGEIF(V15:AY15,"&gt;0")</f>
        <v>70</v>
      </c>
    </row>
    <row r="16" spans="1:52" s="11" customFormat="1" ht="17.100000000000001" customHeight="1" thickBot="1" x14ac:dyDescent="0.3">
      <c r="A16" s="14">
        <v>2</v>
      </c>
      <c r="B16" s="73" t="s">
        <v>6</v>
      </c>
      <c r="C16" s="73"/>
      <c r="D16" s="17"/>
      <c r="E16" s="17"/>
      <c r="G16" s="70"/>
      <c r="H16" s="73" t="s">
        <v>54</v>
      </c>
      <c r="I16" s="73"/>
      <c r="J16" s="72"/>
      <c r="K16" s="72"/>
      <c r="M16" s="70"/>
      <c r="N16" s="73" t="s">
        <v>103</v>
      </c>
      <c r="O16" s="73"/>
      <c r="P16" s="70"/>
      <c r="Q16" s="70"/>
      <c r="T16" s="29"/>
      <c r="U16" s="32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</row>
    <row r="17" spans="1:52" s="11" customFormat="1" ht="17.100000000000001" customHeight="1" thickBot="1" x14ac:dyDescent="0.3">
      <c r="A17" s="70">
        <v>3</v>
      </c>
      <c r="B17" s="73" t="s">
        <v>5</v>
      </c>
      <c r="C17" s="73"/>
      <c r="D17" s="72"/>
      <c r="E17" s="72"/>
      <c r="G17" s="70"/>
      <c r="H17" s="73" t="s">
        <v>55</v>
      </c>
      <c r="I17" s="73"/>
      <c r="J17" s="72"/>
      <c r="K17" s="72"/>
      <c r="M17" s="70"/>
      <c r="N17" s="73" t="s">
        <v>104</v>
      </c>
      <c r="O17" s="73"/>
      <c r="P17" s="70"/>
      <c r="Q17" s="70"/>
      <c r="T17" s="29"/>
      <c r="U17" s="32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</row>
    <row r="18" spans="1:52" s="11" customFormat="1" ht="17.100000000000001" customHeight="1" thickBot="1" x14ac:dyDescent="0.3">
      <c r="A18" s="70"/>
      <c r="B18" s="73" t="s">
        <v>7</v>
      </c>
      <c r="C18" s="73"/>
      <c r="D18" s="72"/>
      <c r="E18" s="72"/>
      <c r="G18" s="70">
        <v>23</v>
      </c>
      <c r="H18" s="73" t="s">
        <v>56</v>
      </c>
      <c r="I18" s="73"/>
      <c r="J18" s="70"/>
      <c r="K18" s="70"/>
      <c r="M18" s="70"/>
      <c r="N18" s="73" t="s">
        <v>105</v>
      </c>
      <c r="O18" s="73"/>
      <c r="P18" s="70"/>
      <c r="Q18" s="70"/>
      <c r="T18" s="29"/>
      <c r="U18" s="32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</row>
    <row r="19" spans="1:52" s="11" customFormat="1" ht="17.100000000000001" customHeight="1" thickBot="1" x14ac:dyDescent="0.3">
      <c r="A19" s="70">
        <v>4</v>
      </c>
      <c r="B19" s="73" t="s">
        <v>8</v>
      </c>
      <c r="C19" s="73"/>
      <c r="D19" s="72"/>
      <c r="E19" s="70"/>
      <c r="G19" s="70"/>
      <c r="H19" s="73" t="s">
        <v>57</v>
      </c>
      <c r="I19" s="73"/>
      <c r="J19" s="70"/>
      <c r="K19" s="70"/>
      <c r="M19" s="70"/>
      <c r="N19" s="73" t="s">
        <v>106</v>
      </c>
      <c r="O19" s="73"/>
      <c r="P19" s="70"/>
      <c r="Q19" s="70"/>
      <c r="T19" s="29"/>
      <c r="U19" s="32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</row>
    <row r="20" spans="1:52" s="11" customFormat="1" ht="17.100000000000001" customHeight="1" thickBot="1" x14ac:dyDescent="0.3">
      <c r="A20" s="70"/>
      <c r="B20" s="73" t="s">
        <v>9</v>
      </c>
      <c r="C20" s="73"/>
      <c r="D20" s="72"/>
      <c r="E20" s="70"/>
      <c r="G20" s="70"/>
      <c r="H20" s="73" t="s">
        <v>58</v>
      </c>
      <c r="I20" s="73"/>
      <c r="J20" s="70"/>
      <c r="K20" s="70"/>
      <c r="M20" s="70"/>
      <c r="N20" s="73" t="s">
        <v>107</v>
      </c>
      <c r="O20" s="73"/>
      <c r="P20" s="70"/>
      <c r="Q20" s="70"/>
      <c r="T20" s="29"/>
      <c r="U20" s="32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</row>
    <row r="21" spans="1:52" s="11" customFormat="1" ht="17.100000000000001" customHeight="1" thickBot="1" x14ac:dyDescent="0.3">
      <c r="A21" s="14">
        <v>5</v>
      </c>
      <c r="B21" s="73" t="s">
        <v>10</v>
      </c>
      <c r="C21" s="73"/>
      <c r="D21" s="17"/>
      <c r="E21" s="17"/>
      <c r="G21" s="70"/>
      <c r="H21" s="73" t="s">
        <v>59</v>
      </c>
      <c r="I21" s="73"/>
      <c r="J21" s="70"/>
      <c r="K21" s="70"/>
      <c r="M21" s="70"/>
      <c r="N21" s="73" t="s">
        <v>108</v>
      </c>
      <c r="O21" s="73"/>
      <c r="P21" s="70"/>
      <c r="Q21" s="70"/>
      <c r="T21" s="29"/>
      <c r="U21" s="32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</row>
    <row r="22" spans="1:52" s="11" customFormat="1" ht="17.100000000000001" customHeight="1" thickBot="1" x14ac:dyDescent="0.3">
      <c r="A22" s="70">
        <v>6</v>
      </c>
      <c r="B22" s="73" t="s">
        <v>11</v>
      </c>
      <c r="C22" s="73"/>
      <c r="D22" s="72"/>
      <c r="E22" s="70"/>
      <c r="G22" s="70">
        <v>24</v>
      </c>
      <c r="H22" s="73" t="s">
        <v>60</v>
      </c>
      <c r="I22" s="73"/>
      <c r="J22" s="70"/>
      <c r="K22" s="70"/>
      <c r="M22" s="70"/>
      <c r="N22" s="73" t="s">
        <v>109</v>
      </c>
      <c r="O22" s="73"/>
      <c r="P22" s="70"/>
      <c r="Q22" s="70"/>
      <c r="T22" s="29"/>
      <c r="U22" s="32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</row>
    <row r="23" spans="1:52" s="11" customFormat="1" ht="17.100000000000001" customHeight="1" thickBot="1" x14ac:dyDescent="0.3">
      <c r="A23" s="70"/>
      <c r="B23" s="73" t="s">
        <v>12</v>
      </c>
      <c r="C23" s="73"/>
      <c r="D23" s="72"/>
      <c r="E23" s="70"/>
      <c r="G23" s="70"/>
      <c r="H23" s="73" t="s">
        <v>61</v>
      </c>
      <c r="I23" s="73"/>
      <c r="J23" s="70"/>
      <c r="K23" s="70"/>
      <c r="M23" s="70"/>
      <c r="N23" s="73" t="s">
        <v>110</v>
      </c>
      <c r="O23" s="73"/>
      <c r="P23" s="70"/>
      <c r="Q23" s="70"/>
      <c r="T23" s="29"/>
      <c r="U23" s="32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</row>
    <row r="24" spans="1:52" s="11" customFormat="1" ht="17.100000000000001" customHeight="1" thickBot="1" x14ac:dyDescent="0.3">
      <c r="A24" s="70">
        <v>7</v>
      </c>
      <c r="B24" s="73" t="s">
        <v>13</v>
      </c>
      <c r="C24" s="73"/>
      <c r="D24" s="70"/>
      <c r="E24" s="70"/>
      <c r="G24" s="70"/>
      <c r="H24" s="73" t="s">
        <v>62</v>
      </c>
      <c r="I24" s="73"/>
      <c r="J24" s="70"/>
      <c r="K24" s="70"/>
      <c r="M24" s="70"/>
      <c r="N24" s="73" t="s">
        <v>111</v>
      </c>
      <c r="O24" s="73"/>
      <c r="P24" s="70"/>
      <c r="Q24" s="70"/>
      <c r="T24" s="29"/>
      <c r="U24" s="32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</row>
    <row r="25" spans="1:52" s="11" customFormat="1" ht="17.100000000000001" customHeight="1" thickBot="1" x14ac:dyDescent="0.3">
      <c r="A25" s="70"/>
      <c r="B25" s="73" t="s">
        <v>14</v>
      </c>
      <c r="C25" s="73"/>
      <c r="D25" s="70"/>
      <c r="E25" s="70"/>
      <c r="G25" s="70">
        <v>25</v>
      </c>
      <c r="H25" s="73" t="s">
        <v>63</v>
      </c>
      <c r="I25" s="73"/>
      <c r="J25" s="70"/>
      <c r="K25" s="70"/>
      <c r="M25" s="70"/>
      <c r="N25" s="73" t="s">
        <v>112</v>
      </c>
      <c r="O25" s="73"/>
      <c r="P25" s="70"/>
      <c r="Q25" s="70"/>
      <c r="T25" s="29"/>
      <c r="U25" s="32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</row>
    <row r="26" spans="1:52" s="11" customFormat="1" ht="17.100000000000001" customHeight="1" thickBot="1" x14ac:dyDescent="0.3">
      <c r="A26" s="70">
        <v>8</v>
      </c>
      <c r="B26" s="73" t="s">
        <v>15</v>
      </c>
      <c r="C26" s="73"/>
      <c r="D26" s="70"/>
      <c r="E26" s="70"/>
      <c r="G26" s="70"/>
      <c r="H26" s="73" t="s">
        <v>64</v>
      </c>
      <c r="I26" s="73"/>
      <c r="J26" s="70"/>
      <c r="K26" s="70"/>
      <c r="M26" s="70"/>
      <c r="N26" s="73" t="s">
        <v>113</v>
      </c>
      <c r="O26" s="73"/>
      <c r="P26" s="70"/>
      <c r="Q26" s="70"/>
      <c r="T26" s="29"/>
      <c r="U26" s="32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</row>
    <row r="27" spans="1:52" s="11" customFormat="1" ht="17.100000000000001" customHeight="1" thickBot="1" x14ac:dyDescent="0.3">
      <c r="A27" s="70"/>
      <c r="B27" s="73" t="s">
        <v>16</v>
      </c>
      <c r="C27" s="73"/>
      <c r="D27" s="70"/>
      <c r="E27" s="70"/>
      <c r="G27" s="70"/>
      <c r="H27" s="73" t="s">
        <v>65</v>
      </c>
      <c r="I27" s="73"/>
      <c r="J27" s="70"/>
      <c r="K27" s="70"/>
      <c r="M27" s="70"/>
      <c r="N27" s="73" t="s">
        <v>114</v>
      </c>
      <c r="O27" s="73"/>
      <c r="P27" s="70"/>
      <c r="Q27" s="70"/>
      <c r="T27" s="29"/>
      <c r="U27" s="32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</row>
    <row r="28" spans="1:52" s="11" customFormat="1" ht="17.100000000000001" customHeight="1" thickBot="1" x14ac:dyDescent="0.3">
      <c r="A28" s="70">
        <v>9</v>
      </c>
      <c r="B28" s="73" t="s">
        <v>17</v>
      </c>
      <c r="C28" s="73"/>
      <c r="D28" s="70"/>
      <c r="E28" s="70"/>
      <c r="G28" s="70"/>
      <c r="H28" s="73" t="s">
        <v>66</v>
      </c>
      <c r="I28" s="73"/>
      <c r="J28" s="70"/>
      <c r="K28" s="70"/>
      <c r="M28" s="70"/>
      <c r="N28" s="73" t="s">
        <v>115</v>
      </c>
      <c r="O28" s="73"/>
      <c r="P28" s="70"/>
      <c r="Q28" s="70"/>
      <c r="T28" s="29"/>
      <c r="U28" s="32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</row>
    <row r="29" spans="1:52" s="11" customFormat="1" ht="17.100000000000001" customHeight="1" thickBot="1" x14ac:dyDescent="0.3">
      <c r="A29" s="70"/>
      <c r="B29" s="73" t="s">
        <v>18</v>
      </c>
      <c r="C29" s="73"/>
      <c r="D29" s="70"/>
      <c r="E29" s="70"/>
      <c r="G29" s="70"/>
      <c r="H29" s="73" t="s">
        <v>67</v>
      </c>
      <c r="I29" s="73"/>
      <c r="J29" s="70"/>
      <c r="K29" s="70"/>
      <c r="M29" s="70"/>
      <c r="N29" s="73" t="s">
        <v>116</v>
      </c>
      <c r="O29" s="73"/>
      <c r="P29" s="70"/>
      <c r="Q29" s="70"/>
      <c r="T29" s="29"/>
      <c r="U29" s="32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</row>
    <row r="30" spans="1:52" s="11" customFormat="1" ht="17.100000000000001" customHeight="1" thickBot="1" x14ac:dyDescent="0.3">
      <c r="A30" s="70">
        <v>10</v>
      </c>
      <c r="B30" s="73" t="s">
        <v>19</v>
      </c>
      <c r="C30" s="73"/>
      <c r="D30" s="70"/>
      <c r="E30" s="70"/>
      <c r="G30" s="70">
        <v>26</v>
      </c>
      <c r="H30" s="73" t="s">
        <v>68</v>
      </c>
      <c r="I30" s="73"/>
      <c r="J30" s="70"/>
      <c r="K30" s="70"/>
      <c r="M30" s="70"/>
      <c r="N30" s="73" t="s">
        <v>117</v>
      </c>
      <c r="O30" s="73"/>
      <c r="P30" s="70"/>
      <c r="Q30" s="70"/>
      <c r="T30" s="29"/>
      <c r="U30" s="32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</row>
    <row r="31" spans="1:52" s="11" customFormat="1" ht="17.100000000000001" customHeight="1" thickBot="1" x14ac:dyDescent="0.3">
      <c r="A31" s="70"/>
      <c r="B31" s="73" t="s">
        <v>20</v>
      </c>
      <c r="C31" s="73"/>
      <c r="D31" s="70"/>
      <c r="E31" s="70"/>
      <c r="G31" s="70"/>
      <c r="H31" s="73" t="s">
        <v>69</v>
      </c>
      <c r="I31" s="73"/>
      <c r="J31" s="70"/>
      <c r="K31" s="70"/>
      <c r="M31" s="70"/>
      <c r="N31" s="73" t="s">
        <v>118</v>
      </c>
      <c r="O31" s="73"/>
      <c r="P31" s="70"/>
      <c r="Q31" s="70"/>
      <c r="T31" s="29"/>
      <c r="U31" s="32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</row>
    <row r="32" spans="1:52" s="11" customFormat="1" ht="17.100000000000001" customHeight="1" thickBot="1" x14ac:dyDescent="0.3">
      <c r="A32" s="70">
        <v>11</v>
      </c>
      <c r="B32" s="73" t="s">
        <v>21</v>
      </c>
      <c r="C32" s="73"/>
      <c r="D32" s="72"/>
      <c r="E32" s="72"/>
      <c r="G32" s="70"/>
      <c r="H32" s="73" t="s">
        <v>70</v>
      </c>
      <c r="I32" s="73"/>
      <c r="J32" s="70"/>
      <c r="K32" s="70"/>
      <c r="M32" s="70"/>
      <c r="N32" s="73" t="s">
        <v>119</v>
      </c>
      <c r="O32" s="73"/>
      <c r="P32" s="70"/>
      <c r="Q32" s="70"/>
      <c r="T32" s="29"/>
      <c r="U32" s="32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</row>
    <row r="33" spans="1:52" s="11" customFormat="1" ht="17.100000000000001" customHeight="1" thickBot="1" x14ac:dyDescent="0.3">
      <c r="A33" s="70"/>
      <c r="B33" s="73" t="s">
        <v>22</v>
      </c>
      <c r="C33" s="73"/>
      <c r="D33" s="72"/>
      <c r="E33" s="72"/>
      <c r="G33" s="70"/>
      <c r="H33" s="73" t="s">
        <v>71</v>
      </c>
      <c r="I33" s="73"/>
      <c r="J33" s="70"/>
      <c r="K33" s="70"/>
      <c r="M33" s="70"/>
      <c r="N33" s="73" t="s">
        <v>120</v>
      </c>
      <c r="O33" s="73"/>
      <c r="P33" s="70"/>
      <c r="Q33" s="70"/>
      <c r="T33" s="29"/>
      <c r="U33" s="32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</row>
    <row r="34" spans="1:52" s="11" customFormat="1" ht="17.100000000000001" customHeight="1" thickBot="1" x14ac:dyDescent="0.3">
      <c r="A34" s="70"/>
      <c r="B34" s="73" t="s">
        <v>23</v>
      </c>
      <c r="C34" s="73"/>
      <c r="D34" s="72"/>
      <c r="E34" s="72"/>
      <c r="G34" s="70"/>
      <c r="H34" s="73" t="s">
        <v>72</v>
      </c>
      <c r="I34" s="73"/>
      <c r="J34" s="70"/>
      <c r="K34" s="70"/>
      <c r="M34" s="70"/>
      <c r="N34" s="73" t="s">
        <v>121</v>
      </c>
      <c r="O34" s="73"/>
      <c r="P34" s="70"/>
      <c r="Q34" s="70"/>
      <c r="T34" s="29"/>
      <c r="U34" s="32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</row>
    <row r="35" spans="1:52" s="11" customFormat="1" ht="17.100000000000001" customHeight="1" thickBot="1" x14ac:dyDescent="0.3">
      <c r="A35" s="70">
        <v>12</v>
      </c>
      <c r="B35" s="73" t="s">
        <v>24</v>
      </c>
      <c r="C35" s="73"/>
      <c r="D35" s="70"/>
      <c r="E35" s="70"/>
      <c r="G35" s="70"/>
      <c r="H35" s="73" t="s">
        <v>73</v>
      </c>
      <c r="I35" s="73"/>
      <c r="J35" s="70"/>
      <c r="K35" s="70"/>
      <c r="M35" s="70"/>
      <c r="N35" s="73" t="s">
        <v>122</v>
      </c>
      <c r="O35" s="73"/>
      <c r="P35" s="70"/>
      <c r="Q35" s="70"/>
      <c r="T35" s="29"/>
      <c r="U35" s="32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</row>
    <row r="36" spans="1:52" s="11" customFormat="1" ht="17.100000000000001" customHeight="1" thickBot="1" x14ac:dyDescent="0.3">
      <c r="A36" s="70"/>
      <c r="B36" s="73" t="s">
        <v>25</v>
      </c>
      <c r="C36" s="73"/>
      <c r="D36" s="70"/>
      <c r="E36" s="70"/>
      <c r="G36" s="70">
        <v>27</v>
      </c>
      <c r="H36" s="73" t="s">
        <v>74</v>
      </c>
      <c r="I36" s="73"/>
      <c r="J36" s="70">
        <v>90</v>
      </c>
      <c r="K36" s="70">
        <v>70</v>
      </c>
      <c r="M36" s="70"/>
      <c r="N36" s="73" t="s">
        <v>123</v>
      </c>
      <c r="O36" s="73"/>
      <c r="P36" s="70"/>
      <c r="Q36" s="70"/>
      <c r="T36" s="29"/>
      <c r="U36" s="32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</row>
    <row r="37" spans="1:52" s="11" customFormat="1" ht="17.100000000000001" customHeight="1" thickBot="1" x14ac:dyDescent="0.3">
      <c r="A37" s="70">
        <v>13</v>
      </c>
      <c r="B37" s="73" t="s">
        <v>26</v>
      </c>
      <c r="C37" s="73"/>
      <c r="D37" s="72"/>
      <c r="E37" s="72"/>
      <c r="G37" s="70"/>
      <c r="H37" s="73" t="s">
        <v>75</v>
      </c>
      <c r="I37" s="73"/>
      <c r="J37" s="70"/>
      <c r="K37" s="70"/>
      <c r="M37" s="70"/>
      <c r="N37" s="73" t="s">
        <v>124</v>
      </c>
      <c r="O37" s="73"/>
      <c r="P37" s="70"/>
      <c r="Q37" s="70"/>
      <c r="T37" s="29"/>
      <c r="U37" s="32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</row>
    <row r="38" spans="1:52" s="11" customFormat="1" ht="17.100000000000001" customHeight="1" thickBot="1" x14ac:dyDescent="0.3">
      <c r="A38" s="70"/>
      <c r="B38" s="73" t="s">
        <v>27</v>
      </c>
      <c r="C38" s="73"/>
      <c r="D38" s="72"/>
      <c r="E38" s="72"/>
      <c r="G38" s="70"/>
      <c r="H38" s="73" t="s">
        <v>76</v>
      </c>
      <c r="I38" s="73"/>
      <c r="J38" s="70"/>
      <c r="K38" s="70"/>
      <c r="M38" s="70"/>
      <c r="N38" s="73" t="s">
        <v>125</v>
      </c>
      <c r="O38" s="73"/>
      <c r="P38" s="70"/>
      <c r="Q38" s="70"/>
      <c r="T38" s="29"/>
      <c r="U38" s="32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</row>
    <row r="39" spans="1:52" s="11" customFormat="1" ht="17.100000000000001" customHeight="1" thickBot="1" x14ac:dyDescent="0.3">
      <c r="A39" s="70"/>
      <c r="B39" s="73" t="s">
        <v>28</v>
      </c>
      <c r="C39" s="73"/>
      <c r="D39" s="72"/>
      <c r="E39" s="72"/>
      <c r="G39" s="70"/>
      <c r="H39" s="73" t="s">
        <v>77</v>
      </c>
      <c r="I39" s="73"/>
      <c r="J39" s="70"/>
      <c r="K39" s="70"/>
      <c r="M39" s="70"/>
      <c r="N39" s="73" t="s">
        <v>126</v>
      </c>
      <c r="O39" s="73"/>
      <c r="P39" s="70"/>
      <c r="Q39" s="70"/>
      <c r="T39" s="29"/>
      <c r="U39" s="32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2" s="11" customFormat="1" ht="17.100000000000001" customHeight="1" thickBot="1" x14ac:dyDescent="0.3">
      <c r="A40" s="70">
        <v>14</v>
      </c>
      <c r="B40" s="73" t="s">
        <v>29</v>
      </c>
      <c r="C40" s="73"/>
      <c r="D40" s="70"/>
      <c r="E40" s="70"/>
      <c r="G40" s="70"/>
      <c r="H40" s="73" t="s">
        <v>78</v>
      </c>
      <c r="I40" s="73"/>
      <c r="J40" s="70"/>
      <c r="K40" s="70"/>
      <c r="M40" s="70"/>
      <c r="N40" s="73" t="s">
        <v>127</v>
      </c>
      <c r="O40" s="73"/>
      <c r="P40" s="70"/>
      <c r="Q40" s="70"/>
      <c r="T40" s="29"/>
      <c r="U40" s="32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2" s="11" customFormat="1" ht="17.100000000000001" customHeight="1" thickBot="1" x14ac:dyDescent="0.3">
      <c r="A41" s="70"/>
      <c r="B41" s="73" t="s">
        <v>30</v>
      </c>
      <c r="C41" s="73"/>
      <c r="D41" s="70"/>
      <c r="E41" s="70"/>
      <c r="G41" s="70"/>
      <c r="H41" s="73" t="s">
        <v>79</v>
      </c>
      <c r="I41" s="73"/>
      <c r="J41" s="70"/>
      <c r="K41" s="70"/>
      <c r="M41" s="70"/>
      <c r="N41" s="73" t="s">
        <v>128</v>
      </c>
      <c r="O41" s="73"/>
      <c r="P41" s="70"/>
      <c r="Q41" s="70"/>
      <c r="T41" s="29"/>
      <c r="U41" s="32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2" s="11" customFormat="1" ht="17.100000000000001" customHeight="1" thickBot="1" x14ac:dyDescent="0.3">
      <c r="A42" s="70">
        <v>15</v>
      </c>
      <c r="B42" s="73" t="s">
        <v>31</v>
      </c>
      <c r="C42" s="73"/>
      <c r="D42" s="70"/>
      <c r="E42" s="70"/>
      <c r="G42" s="70"/>
      <c r="H42" s="73" t="s">
        <v>80</v>
      </c>
      <c r="I42" s="73"/>
      <c r="J42" s="70"/>
      <c r="K42" s="70"/>
      <c r="M42" s="70"/>
      <c r="N42" s="73" t="s">
        <v>129</v>
      </c>
      <c r="O42" s="73"/>
      <c r="P42" s="70"/>
      <c r="Q42" s="70"/>
      <c r="T42" s="29"/>
      <c r="U42" s="32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2" s="11" customFormat="1" ht="17.100000000000001" customHeight="1" thickBot="1" x14ac:dyDescent="0.3">
      <c r="A43" s="70"/>
      <c r="B43" s="73" t="s">
        <v>32</v>
      </c>
      <c r="C43" s="73"/>
      <c r="D43" s="70"/>
      <c r="E43" s="70"/>
      <c r="G43" s="70">
        <v>28</v>
      </c>
      <c r="H43" s="73" t="s">
        <v>81</v>
      </c>
      <c r="I43" s="73"/>
      <c r="J43" s="70">
        <v>82</v>
      </c>
      <c r="K43" s="70">
        <v>70</v>
      </c>
      <c r="M43" s="70"/>
      <c r="N43" s="73" t="s">
        <v>130</v>
      </c>
      <c r="O43" s="73"/>
      <c r="P43" s="70"/>
      <c r="Q43" s="70"/>
      <c r="T43" s="29"/>
      <c r="U43" s="32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2" s="11" customFormat="1" ht="17.100000000000001" customHeight="1" thickBot="1" x14ac:dyDescent="0.3">
      <c r="A44" s="70">
        <v>16</v>
      </c>
      <c r="B44" s="73" t="s">
        <v>33</v>
      </c>
      <c r="C44" s="73"/>
      <c r="D44" s="72"/>
      <c r="E44" s="72"/>
      <c r="G44" s="70"/>
      <c r="H44" s="73" t="s">
        <v>82</v>
      </c>
      <c r="I44" s="73"/>
      <c r="J44" s="70"/>
      <c r="K44" s="70"/>
      <c r="M44" s="70"/>
      <c r="N44" s="73" t="s">
        <v>131</v>
      </c>
      <c r="O44" s="73"/>
      <c r="P44" s="70"/>
      <c r="Q44" s="70"/>
      <c r="T44" s="29"/>
      <c r="U44" s="32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2" s="11" customFormat="1" ht="17.100000000000001" customHeight="1" thickBot="1" x14ac:dyDescent="0.3">
      <c r="A45" s="70"/>
      <c r="B45" s="73" t="s">
        <v>34</v>
      </c>
      <c r="C45" s="73"/>
      <c r="D45" s="72"/>
      <c r="E45" s="72"/>
      <c r="G45" s="70"/>
      <c r="H45" s="73" t="s">
        <v>83</v>
      </c>
      <c r="I45" s="73"/>
      <c r="J45" s="70"/>
      <c r="K45" s="70"/>
      <c r="M45" s="70"/>
      <c r="N45" s="73" t="s">
        <v>132</v>
      </c>
      <c r="O45" s="73"/>
      <c r="P45" s="70"/>
      <c r="Q45" s="70"/>
      <c r="T45" s="29"/>
      <c r="U45" s="32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2" s="11" customFormat="1" ht="17.100000000000001" customHeight="1" thickBot="1" x14ac:dyDescent="0.3">
      <c r="A46" s="70"/>
      <c r="B46" s="73" t="s">
        <v>35</v>
      </c>
      <c r="C46" s="73"/>
      <c r="D46" s="72"/>
      <c r="E46" s="72"/>
      <c r="G46" s="70"/>
      <c r="H46" s="73" t="s">
        <v>84</v>
      </c>
      <c r="I46" s="73"/>
      <c r="J46" s="70"/>
      <c r="K46" s="70"/>
      <c r="M46" s="70"/>
      <c r="N46" s="73" t="s">
        <v>133</v>
      </c>
      <c r="O46" s="73"/>
      <c r="P46" s="70"/>
      <c r="Q46" s="70"/>
      <c r="T46" s="29"/>
      <c r="U46" s="32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2" s="11" customFormat="1" ht="17.100000000000001" customHeight="1" thickBot="1" x14ac:dyDescent="0.3">
      <c r="A47" s="70">
        <v>17</v>
      </c>
      <c r="B47" s="73" t="s">
        <v>36</v>
      </c>
      <c r="C47" s="73"/>
      <c r="D47" s="70"/>
      <c r="E47" s="70"/>
      <c r="G47" s="70"/>
      <c r="H47" s="73" t="s">
        <v>85</v>
      </c>
      <c r="I47" s="73"/>
      <c r="J47" s="70"/>
      <c r="K47" s="70"/>
      <c r="M47" s="70"/>
      <c r="N47" s="73" t="s">
        <v>134</v>
      </c>
      <c r="O47" s="73"/>
      <c r="P47" s="70"/>
      <c r="Q47" s="70"/>
      <c r="T47" s="29"/>
      <c r="U47" s="32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2" s="11" customFormat="1" ht="17.100000000000001" customHeight="1" thickBot="1" x14ac:dyDescent="0.3">
      <c r="A48" s="70"/>
      <c r="B48" s="73" t="s">
        <v>37</v>
      </c>
      <c r="C48" s="73"/>
      <c r="D48" s="70"/>
      <c r="E48" s="70"/>
      <c r="G48" s="70"/>
      <c r="H48" s="73" t="s">
        <v>86</v>
      </c>
      <c r="I48" s="73"/>
      <c r="J48" s="70"/>
      <c r="K48" s="70"/>
      <c r="M48" s="70"/>
      <c r="N48" s="73" t="s">
        <v>135</v>
      </c>
      <c r="O48" s="73"/>
      <c r="P48" s="70"/>
      <c r="Q48" s="70"/>
      <c r="T48" s="29"/>
      <c r="U48" s="32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s="11" customFormat="1" ht="17.100000000000001" customHeight="1" thickBot="1" x14ac:dyDescent="0.3">
      <c r="A49" s="70">
        <v>18</v>
      </c>
      <c r="B49" s="73" t="s">
        <v>38</v>
      </c>
      <c r="C49" s="73"/>
      <c r="D49" s="72"/>
      <c r="E49" s="72"/>
      <c r="G49" s="70"/>
      <c r="H49" s="73" t="s">
        <v>87</v>
      </c>
      <c r="I49" s="73"/>
      <c r="J49" s="70"/>
      <c r="K49" s="70"/>
      <c r="M49" s="70"/>
      <c r="N49" s="73" t="s">
        <v>136</v>
      </c>
      <c r="O49" s="73"/>
      <c r="P49" s="70"/>
      <c r="Q49" s="70"/>
      <c r="T49" s="29"/>
      <c r="U49" s="32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s="11" customFormat="1" ht="17.100000000000001" customHeight="1" thickBot="1" x14ac:dyDescent="0.3">
      <c r="A50" s="70"/>
      <c r="B50" s="73" t="s">
        <v>39</v>
      </c>
      <c r="C50" s="73"/>
      <c r="D50" s="72"/>
      <c r="E50" s="72"/>
      <c r="G50" s="70"/>
      <c r="H50" s="73" t="s">
        <v>88</v>
      </c>
      <c r="I50" s="73"/>
      <c r="J50" s="70"/>
      <c r="K50" s="70"/>
      <c r="M50" s="71"/>
      <c r="N50" s="84" t="s">
        <v>137</v>
      </c>
      <c r="O50" s="84"/>
      <c r="P50" s="71"/>
      <c r="Q50" s="71"/>
      <c r="T50" s="29"/>
      <c r="U50" s="32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s="11" customFormat="1" ht="17.100000000000001" customHeight="1" thickTop="1" thickBot="1" x14ac:dyDescent="0.3">
      <c r="A51" s="70"/>
      <c r="B51" s="73" t="s">
        <v>41</v>
      </c>
      <c r="C51" s="73"/>
      <c r="D51" s="72"/>
      <c r="E51" s="72"/>
      <c r="G51" s="70"/>
      <c r="H51" s="73" t="s">
        <v>89</v>
      </c>
      <c r="I51" s="73"/>
      <c r="J51" s="70"/>
      <c r="K51" s="70"/>
      <c r="M51" s="74" t="s">
        <v>145</v>
      </c>
      <c r="N51" s="74"/>
      <c r="O51" s="74"/>
      <c r="P51" s="82">
        <f>AZ14</f>
        <v>88</v>
      </c>
      <c r="Q51" s="82">
        <f>AZ15</f>
        <v>70</v>
      </c>
      <c r="T51" s="29"/>
      <c r="U51" s="32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s="11" customFormat="1" ht="17.100000000000001" customHeight="1" thickBot="1" x14ac:dyDescent="0.3">
      <c r="A52" s="70">
        <v>19</v>
      </c>
      <c r="B52" s="73" t="s">
        <v>42</v>
      </c>
      <c r="C52" s="73"/>
      <c r="D52" s="72"/>
      <c r="E52" s="72"/>
      <c r="G52" s="70">
        <v>29</v>
      </c>
      <c r="H52" s="73" t="s">
        <v>90</v>
      </c>
      <c r="I52" s="73"/>
      <c r="J52" s="70">
        <v>90</v>
      </c>
      <c r="K52" s="70">
        <v>70</v>
      </c>
      <c r="M52" s="75"/>
      <c r="N52" s="75"/>
      <c r="O52" s="75"/>
      <c r="P52" s="83"/>
      <c r="Q52" s="83"/>
      <c r="T52" s="29"/>
      <c r="U52" s="32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s="11" customFormat="1" ht="17.100000000000001" customHeight="1" thickBot="1" x14ac:dyDescent="0.3">
      <c r="A53" s="70"/>
      <c r="B53" s="73" t="s">
        <v>40</v>
      </c>
      <c r="C53" s="73"/>
      <c r="D53" s="72"/>
      <c r="E53" s="72"/>
      <c r="G53" s="70"/>
      <c r="H53" s="73" t="s">
        <v>91</v>
      </c>
      <c r="I53" s="73"/>
      <c r="J53" s="70"/>
      <c r="K53" s="70"/>
      <c r="M53" s="39" t="s">
        <v>163</v>
      </c>
      <c r="N53" s="13"/>
      <c r="P53" s="1"/>
      <c r="Q53" s="1"/>
      <c r="T53" s="29"/>
      <c r="U53" s="32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s="11" customFormat="1" ht="17.100000000000001" customHeight="1" thickBot="1" x14ac:dyDescent="0.3">
      <c r="A54" s="70"/>
      <c r="B54" s="73" t="s">
        <v>43</v>
      </c>
      <c r="C54" s="73"/>
      <c r="D54" s="72"/>
      <c r="E54" s="72"/>
      <c r="G54" s="70"/>
      <c r="H54" s="73" t="s">
        <v>92</v>
      </c>
      <c r="I54" s="73"/>
      <c r="J54" s="70"/>
      <c r="K54" s="70"/>
      <c r="M54" s="12"/>
      <c r="N54" s="15"/>
      <c r="P54" s="1"/>
      <c r="Q54" s="1"/>
      <c r="T54" s="29"/>
      <c r="U54" s="32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s="11" customFormat="1" ht="17.100000000000001" customHeight="1" thickBot="1" x14ac:dyDescent="0.45">
      <c r="A55" s="70">
        <v>20</v>
      </c>
      <c r="B55" s="73" t="s">
        <v>44</v>
      </c>
      <c r="C55" s="73"/>
      <c r="D55" s="72"/>
      <c r="E55" s="72"/>
      <c r="G55" s="70"/>
      <c r="H55" s="73" t="s">
        <v>93</v>
      </c>
      <c r="I55" s="73"/>
      <c r="J55" s="70"/>
      <c r="K55" s="70"/>
      <c r="M55" s="85" t="s">
        <v>175</v>
      </c>
      <c r="N55" s="85"/>
      <c r="O55" s="85"/>
      <c r="P55" s="85"/>
      <c r="Q55" s="85"/>
      <c r="T55" s="29"/>
      <c r="U55" s="32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s="11" customFormat="1" ht="17.100000000000001" customHeight="1" thickBot="1" x14ac:dyDescent="0.45">
      <c r="A56" s="70"/>
      <c r="B56" s="73" t="s">
        <v>45</v>
      </c>
      <c r="C56" s="73"/>
      <c r="D56" s="72"/>
      <c r="E56" s="72"/>
      <c r="G56" s="70"/>
      <c r="H56" s="73" t="s">
        <v>94</v>
      </c>
      <c r="I56" s="73"/>
      <c r="J56" s="70"/>
      <c r="K56" s="70"/>
      <c r="M56" s="85" t="s">
        <v>189</v>
      </c>
      <c r="N56" s="85"/>
      <c r="O56" s="85"/>
      <c r="P56" s="85"/>
      <c r="Q56" s="85"/>
      <c r="T56" s="29"/>
      <c r="U56" s="32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s="11" customFormat="1" ht="17.100000000000001" customHeight="1" thickBot="1" x14ac:dyDescent="0.3">
      <c r="A57" s="70"/>
      <c r="B57" s="73" t="s">
        <v>46</v>
      </c>
      <c r="C57" s="73"/>
      <c r="D57" s="72"/>
      <c r="E57" s="72"/>
      <c r="G57" s="70"/>
      <c r="H57" s="73" t="s">
        <v>95</v>
      </c>
      <c r="I57" s="73"/>
      <c r="J57" s="70"/>
      <c r="K57" s="70"/>
      <c r="M57" s="12"/>
      <c r="N57" s="15"/>
      <c r="P57" s="37"/>
      <c r="Q57" s="37"/>
      <c r="T57" s="29"/>
      <c r="U57" s="32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s="11" customFormat="1" ht="17.100000000000001" customHeight="1" thickBot="1" x14ac:dyDescent="0.3">
      <c r="A58" s="70">
        <v>21</v>
      </c>
      <c r="B58" s="73" t="s">
        <v>47</v>
      </c>
      <c r="C58" s="73"/>
      <c r="D58" s="72"/>
      <c r="E58" s="72"/>
      <c r="G58" s="70"/>
      <c r="H58" s="73" t="s">
        <v>96</v>
      </c>
      <c r="I58" s="73"/>
      <c r="J58" s="70"/>
      <c r="K58" s="70"/>
      <c r="M58" s="86" t="s">
        <v>174</v>
      </c>
      <c r="N58" s="86"/>
      <c r="O58" s="86"/>
      <c r="P58" s="86"/>
      <c r="Q58" s="86"/>
      <c r="T58" s="29"/>
      <c r="U58" s="32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s="11" customFormat="1" ht="17.100000000000001" customHeight="1" thickBot="1" x14ac:dyDescent="0.3">
      <c r="A59" s="70"/>
      <c r="B59" s="73" t="s">
        <v>48</v>
      </c>
      <c r="C59" s="73"/>
      <c r="D59" s="72"/>
      <c r="E59" s="72"/>
      <c r="G59" s="70"/>
      <c r="H59" s="73" t="s">
        <v>97</v>
      </c>
      <c r="I59" s="73"/>
      <c r="J59" s="70"/>
      <c r="K59" s="70"/>
      <c r="M59" s="86"/>
      <c r="N59" s="86"/>
      <c r="O59" s="86"/>
      <c r="P59" s="86"/>
      <c r="Q59" s="86"/>
      <c r="T59" s="29"/>
      <c r="U59" s="32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s="11" customFormat="1" ht="17.100000000000001" customHeight="1" thickBot="1" x14ac:dyDescent="0.3">
      <c r="A60" s="70"/>
      <c r="B60" s="73" t="s">
        <v>49</v>
      </c>
      <c r="C60" s="73"/>
      <c r="D60" s="72"/>
      <c r="E60" s="72"/>
      <c r="G60" s="70"/>
      <c r="H60" s="73" t="s">
        <v>98</v>
      </c>
      <c r="I60" s="73"/>
      <c r="J60" s="70"/>
      <c r="K60" s="70"/>
      <c r="M60" s="68"/>
      <c r="N60" s="69"/>
      <c r="O60" s="69"/>
      <c r="P60" s="68"/>
      <c r="Q60" s="68"/>
      <c r="T60" s="29"/>
      <c r="U60" s="32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s="11" customFormat="1" ht="17.100000000000001" customHeight="1" thickBot="1" x14ac:dyDescent="0.3">
      <c r="A61" s="70"/>
      <c r="B61" s="73" t="s">
        <v>50</v>
      </c>
      <c r="C61" s="73"/>
      <c r="D61" s="72"/>
      <c r="E61" s="72"/>
      <c r="G61" s="70"/>
      <c r="H61" s="73" t="s">
        <v>99</v>
      </c>
      <c r="I61" s="73"/>
      <c r="J61" s="70"/>
      <c r="K61" s="70"/>
      <c r="M61" s="68"/>
      <c r="N61" s="69"/>
      <c r="O61" s="69"/>
      <c r="P61" s="68"/>
      <c r="Q61" s="68"/>
      <c r="T61" s="29"/>
      <c r="U61" s="32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s="11" customFormat="1" ht="17.100000000000001" customHeight="1" thickBot="1" x14ac:dyDescent="0.3">
      <c r="A62" s="70"/>
      <c r="B62" s="73" t="s">
        <v>51</v>
      </c>
      <c r="C62" s="73"/>
      <c r="D62" s="72"/>
      <c r="E62" s="72"/>
      <c r="G62" s="70"/>
      <c r="H62" s="73" t="s">
        <v>100</v>
      </c>
      <c r="I62" s="73"/>
      <c r="J62" s="70"/>
      <c r="K62" s="70"/>
      <c r="M62" s="87" t="s">
        <v>177</v>
      </c>
      <c r="N62" s="87"/>
      <c r="O62" s="87"/>
      <c r="P62" s="87"/>
      <c r="Q62" s="87"/>
      <c r="T62" s="29"/>
      <c r="U62" s="32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ht="6" customHeight="1" x14ac:dyDescent="0.25">
      <c r="N63" s="37"/>
      <c r="O63" s="37"/>
      <c r="P63" s="37"/>
      <c r="Q63" s="37"/>
    </row>
    <row r="64" spans="1:52" x14ac:dyDescent="0.25">
      <c r="B64" s="4"/>
      <c r="E64" s="18"/>
      <c r="F64" s="3"/>
      <c r="H64" s="2"/>
    </row>
    <row r="65" spans="2:8" x14ac:dyDescent="0.25">
      <c r="B65" s="2"/>
      <c r="H65" s="2"/>
    </row>
    <row r="66" spans="2:8" x14ac:dyDescent="0.25">
      <c r="B66" s="2"/>
      <c r="H66" s="2"/>
    </row>
  </sheetData>
  <mergeCells count="250">
    <mergeCell ref="M55:Q55"/>
    <mergeCell ref="M56:Q56"/>
    <mergeCell ref="M58:Q58"/>
    <mergeCell ref="M59:Q59"/>
    <mergeCell ref="M62:Q62"/>
    <mergeCell ref="V11:AY11"/>
    <mergeCell ref="AZ11:AZ12"/>
    <mergeCell ref="U11:U12"/>
    <mergeCell ref="A7:B7"/>
    <mergeCell ref="A8:B8"/>
    <mergeCell ref="A9:B9"/>
    <mergeCell ref="M7:N7"/>
    <mergeCell ref="M8:N8"/>
    <mergeCell ref="M9:N9"/>
    <mergeCell ref="G11:G12"/>
    <mergeCell ref="M11:M12"/>
    <mergeCell ref="D14:D15"/>
    <mergeCell ref="E14:E15"/>
    <mergeCell ref="D17:D18"/>
    <mergeCell ref="E17:E18"/>
    <mergeCell ref="N44:O44"/>
    <mergeCell ref="N45:O45"/>
    <mergeCell ref="N46:O46"/>
    <mergeCell ref="N47:O47"/>
    <mergeCell ref="N48:O48"/>
    <mergeCell ref="N39:O39"/>
    <mergeCell ref="P51:P52"/>
    <mergeCell ref="Q51:Q52"/>
    <mergeCell ref="N49:O49"/>
    <mergeCell ref="N50:O50"/>
    <mergeCell ref="N40:O40"/>
    <mergeCell ref="N41:O41"/>
    <mergeCell ref="N42:O42"/>
    <mergeCell ref="N43:O43"/>
    <mergeCell ref="N34:O34"/>
    <mergeCell ref="N35:O35"/>
    <mergeCell ref="N36:O36"/>
    <mergeCell ref="N37:O37"/>
    <mergeCell ref="N38:O38"/>
    <mergeCell ref="N16:O16"/>
    <mergeCell ref="N17:O17"/>
    <mergeCell ref="N18:O18"/>
    <mergeCell ref="N30:O30"/>
    <mergeCell ref="N31:O31"/>
    <mergeCell ref="N32:O32"/>
    <mergeCell ref="N29:O29"/>
    <mergeCell ref="N33:O33"/>
    <mergeCell ref="N24:O24"/>
    <mergeCell ref="N25:O25"/>
    <mergeCell ref="N26:O26"/>
    <mergeCell ref="B59:C59"/>
    <mergeCell ref="B60:C60"/>
    <mergeCell ref="B61:C61"/>
    <mergeCell ref="B62:C62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23:C2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14:C14"/>
    <mergeCell ref="B15:C15"/>
    <mergeCell ref="B16:C16"/>
    <mergeCell ref="B17:C17"/>
    <mergeCell ref="B18:C18"/>
    <mergeCell ref="D52:D54"/>
    <mergeCell ref="D55:D57"/>
    <mergeCell ref="D58:D62"/>
    <mergeCell ref="H56:I56"/>
    <mergeCell ref="H57:I57"/>
    <mergeCell ref="H58:I58"/>
    <mergeCell ref="H59:I59"/>
    <mergeCell ref="H60:I60"/>
    <mergeCell ref="H61:I61"/>
    <mergeCell ref="H62:I62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D42:D43"/>
    <mergeCell ref="D44:D46"/>
    <mergeCell ref="D47:D48"/>
    <mergeCell ref="D49:D51"/>
    <mergeCell ref="J52:J62"/>
    <mergeCell ref="J22:J24"/>
    <mergeCell ref="J25:J29"/>
    <mergeCell ref="J30:J35"/>
    <mergeCell ref="J36:J42"/>
    <mergeCell ref="J43:J51"/>
    <mergeCell ref="H31:I31"/>
    <mergeCell ref="H32:I32"/>
    <mergeCell ref="H33:I33"/>
    <mergeCell ref="H34:I34"/>
    <mergeCell ref="H35:I35"/>
    <mergeCell ref="H26:I26"/>
    <mergeCell ref="H27:I27"/>
    <mergeCell ref="H28:I28"/>
    <mergeCell ref="H29:I29"/>
    <mergeCell ref="H30:I30"/>
    <mergeCell ref="H41:I41"/>
    <mergeCell ref="H42:I42"/>
    <mergeCell ref="H43:I43"/>
    <mergeCell ref="H44:I44"/>
    <mergeCell ref="D22:D23"/>
    <mergeCell ref="D24:D25"/>
    <mergeCell ref="D26:D27"/>
    <mergeCell ref="D28:D29"/>
    <mergeCell ref="D30:D31"/>
    <mergeCell ref="D32:D34"/>
    <mergeCell ref="D35:D36"/>
    <mergeCell ref="D37:D39"/>
    <mergeCell ref="D40:D41"/>
    <mergeCell ref="A1:Q1"/>
    <mergeCell ref="A3:Q3"/>
    <mergeCell ref="A4:Q4"/>
    <mergeCell ref="A6:Q6"/>
    <mergeCell ref="G22:G24"/>
    <mergeCell ref="G25:G29"/>
    <mergeCell ref="A26:A27"/>
    <mergeCell ref="A2:Q2"/>
    <mergeCell ref="B11:C12"/>
    <mergeCell ref="D11:E11"/>
    <mergeCell ref="H11:I12"/>
    <mergeCell ref="J11:K11"/>
    <mergeCell ref="N11:O12"/>
    <mergeCell ref="P11:Q11"/>
    <mergeCell ref="P14:P50"/>
    <mergeCell ref="J14:J17"/>
    <mergeCell ref="J18:J21"/>
    <mergeCell ref="A30:A31"/>
    <mergeCell ref="A32:A34"/>
    <mergeCell ref="A37:A39"/>
    <mergeCell ref="A35:A36"/>
    <mergeCell ref="A24:A25"/>
    <mergeCell ref="A11:A12"/>
    <mergeCell ref="A14:A15"/>
    <mergeCell ref="A17:A18"/>
    <mergeCell ref="A19:A20"/>
    <mergeCell ref="E19:E20"/>
    <mergeCell ref="A22:A23"/>
    <mergeCell ref="G14:G17"/>
    <mergeCell ref="A58:A62"/>
    <mergeCell ref="E22:E23"/>
    <mergeCell ref="E24:E25"/>
    <mergeCell ref="E26:E27"/>
    <mergeCell ref="E28:E29"/>
    <mergeCell ref="E30:E31"/>
    <mergeCell ref="E35:E36"/>
    <mergeCell ref="E40:E41"/>
    <mergeCell ref="E42:E43"/>
    <mergeCell ref="A40:A41"/>
    <mergeCell ref="A42:A43"/>
    <mergeCell ref="A47:A48"/>
    <mergeCell ref="A44:A46"/>
    <mergeCell ref="A49:A51"/>
    <mergeCell ref="A52:A54"/>
    <mergeCell ref="A28:A29"/>
    <mergeCell ref="G52:G62"/>
    <mergeCell ref="A55:A57"/>
    <mergeCell ref="D19:D20"/>
    <mergeCell ref="K52:K62"/>
    <mergeCell ref="M14:M50"/>
    <mergeCell ref="K14:K17"/>
    <mergeCell ref="K18:K21"/>
    <mergeCell ref="K22:K24"/>
    <mergeCell ref="K25:K29"/>
    <mergeCell ref="E52:E54"/>
    <mergeCell ref="E55:E57"/>
    <mergeCell ref="E58:E62"/>
    <mergeCell ref="M51:O52"/>
    <mergeCell ref="H45:I45"/>
    <mergeCell ref="H36:I36"/>
    <mergeCell ref="H37:I37"/>
    <mergeCell ref="H38:I38"/>
    <mergeCell ref="H39:I39"/>
    <mergeCell ref="H40:I40"/>
    <mergeCell ref="H51:I51"/>
    <mergeCell ref="H52:I52"/>
    <mergeCell ref="H53:I53"/>
    <mergeCell ref="H54:I54"/>
    <mergeCell ref="H55:I55"/>
    <mergeCell ref="E47:E48"/>
    <mergeCell ref="E32:E34"/>
    <mergeCell ref="E37:E39"/>
    <mergeCell ref="G18:G21"/>
    <mergeCell ref="Q14:Q50"/>
    <mergeCell ref="G30:G35"/>
    <mergeCell ref="K30:K35"/>
    <mergeCell ref="G36:G42"/>
    <mergeCell ref="K36:K42"/>
    <mergeCell ref="G43:G51"/>
    <mergeCell ref="K43:K51"/>
    <mergeCell ref="E44:E46"/>
    <mergeCell ref="E49:E51"/>
    <mergeCell ref="H46:I46"/>
    <mergeCell ref="H47:I47"/>
    <mergeCell ref="H48:I48"/>
    <mergeCell ref="H49:I49"/>
    <mergeCell ref="H50:I50"/>
    <mergeCell ref="N19:O19"/>
    <mergeCell ref="N20:O20"/>
    <mergeCell ref="N21:O21"/>
    <mergeCell ref="N22:O22"/>
    <mergeCell ref="N27:O27"/>
    <mergeCell ref="N28:O28"/>
    <mergeCell ref="N23:O23"/>
    <mergeCell ref="N14:O14"/>
    <mergeCell ref="N15:O15"/>
  </mergeCells>
  <pageMargins left="0.35" right="0.25" top="0.31" bottom="0.74803149606299213" header="0.31496062992125984" footer="0.31496062992125984"/>
  <pageSetup paperSize="5" scale="85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6"/>
  <sheetViews>
    <sheetView topLeftCell="A43" zoomScaleNormal="100" workbookViewId="0">
      <selection activeCell="R48" sqref="R48"/>
    </sheetView>
  </sheetViews>
  <sheetFormatPr defaultRowHeight="15" x14ac:dyDescent="0.25"/>
  <cols>
    <col min="1" max="1" width="4.7109375" style="56" customWidth="1"/>
    <col min="2" max="2" width="18.7109375" customWidth="1"/>
    <col min="3" max="3" width="4.7109375" customWidth="1"/>
    <col min="4" max="5" width="4.7109375" style="56" customWidth="1"/>
    <col min="6" max="6" width="2.28515625" customWidth="1"/>
    <col min="7" max="7" width="4.7109375" style="56" customWidth="1"/>
    <col min="8" max="8" width="18.7109375" customWidth="1"/>
    <col min="9" max="9" width="4.7109375" customWidth="1"/>
    <col min="10" max="11" width="4.7109375" style="56" customWidth="1"/>
    <col min="12" max="12" width="2.28515625" customWidth="1"/>
    <col min="13" max="13" width="4.7109375" style="56" customWidth="1"/>
    <col min="14" max="15" width="10.7109375" customWidth="1"/>
    <col min="16" max="17" width="4.7109375" style="56" customWidth="1"/>
    <col min="20" max="20" width="4.42578125" style="5" customWidth="1"/>
    <col min="21" max="21" width="12.28515625" style="31" customWidth="1"/>
    <col min="22" max="39" width="4.7109375" style="56" customWidth="1"/>
    <col min="40" max="51" width="4.7109375" style="5" customWidth="1"/>
    <col min="52" max="52" width="9.140625" style="5"/>
  </cols>
  <sheetData>
    <row r="1" spans="1:52" ht="25.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52" ht="21" customHeight="1" x14ac:dyDescent="0.25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52" ht="18" customHeight="1" x14ac:dyDescent="0.25">
      <c r="A3" s="77" t="s">
        <v>158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52" ht="15" customHeight="1" x14ac:dyDescent="0.25">
      <c r="A4" s="78" t="s">
        <v>159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52" ht="24.75" customHeight="1" x14ac:dyDescent="0.25"/>
    <row r="6" spans="1:52" ht="20.100000000000001" customHeight="1" x14ac:dyDescent="0.3">
      <c r="A6" s="79" t="s">
        <v>138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</row>
    <row r="7" spans="1:52" ht="15" customHeight="1" x14ac:dyDescent="0.25">
      <c r="A7" s="91" t="s">
        <v>154</v>
      </c>
      <c r="B7" s="91"/>
      <c r="C7" s="9" t="s">
        <v>179</v>
      </c>
      <c r="D7" s="51"/>
      <c r="E7" s="51"/>
      <c r="F7" s="56"/>
      <c r="J7" s="51"/>
      <c r="M7" s="92" t="s">
        <v>139</v>
      </c>
      <c r="N7" s="92"/>
      <c r="O7" s="10" t="s">
        <v>155</v>
      </c>
    </row>
    <row r="8" spans="1:52" ht="15" customHeight="1" x14ac:dyDescent="0.25">
      <c r="A8" s="91" t="s">
        <v>140</v>
      </c>
      <c r="B8" s="91"/>
      <c r="C8" s="9">
        <v>2101104</v>
      </c>
      <c r="D8" s="51"/>
      <c r="E8" s="51"/>
      <c r="F8" s="56"/>
      <c r="J8" s="51"/>
      <c r="M8" s="92" t="s">
        <v>141</v>
      </c>
      <c r="N8" s="92"/>
      <c r="O8" s="10" t="s">
        <v>176</v>
      </c>
    </row>
    <row r="9" spans="1:52" ht="15" customHeight="1" x14ac:dyDescent="0.25">
      <c r="A9" s="91" t="s">
        <v>173</v>
      </c>
      <c r="B9" s="91"/>
      <c r="C9" s="38" t="s">
        <v>160</v>
      </c>
      <c r="D9" s="51"/>
      <c r="E9" s="51"/>
      <c r="F9" s="56"/>
      <c r="I9" s="8"/>
      <c r="J9" s="51"/>
      <c r="K9" s="6"/>
      <c r="L9" s="8"/>
      <c r="M9" s="92" t="s">
        <v>142</v>
      </c>
      <c r="N9" s="92"/>
      <c r="O9" s="10" t="s">
        <v>156</v>
      </c>
      <c r="P9" s="6"/>
      <c r="Q9" s="6"/>
    </row>
    <row r="10" spans="1:52" ht="4.5" customHeight="1" thickBot="1" x14ac:dyDescent="0.3"/>
    <row r="11" spans="1:52" ht="16.5" thickTop="1" thickBot="1" x14ac:dyDescent="0.3">
      <c r="A11" s="81" t="s">
        <v>0</v>
      </c>
      <c r="B11" s="81" t="s">
        <v>1</v>
      </c>
      <c r="C11" s="81"/>
      <c r="D11" s="81" t="s">
        <v>2</v>
      </c>
      <c r="E11" s="81"/>
      <c r="F11" s="19"/>
      <c r="G11" s="81" t="s">
        <v>0</v>
      </c>
      <c r="H11" s="81" t="s">
        <v>1</v>
      </c>
      <c r="I11" s="81"/>
      <c r="J11" s="81" t="s">
        <v>2</v>
      </c>
      <c r="K11" s="81"/>
      <c r="L11" s="19"/>
      <c r="M11" s="81" t="s">
        <v>0</v>
      </c>
      <c r="N11" s="81" t="s">
        <v>1</v>
      </c>
      <c r="O11" s="81"/>
      <c r="P11" s="81" t="s">
        <v>2</v>
      </c>
      <c r="Q11" s="81"/>
      <c r="U11" s="89"/>
      <c r="V11" s="88" t="s">
        <v>153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 t="s">
        <v>146</v>
      </c>
    </row>
    <row r="12" spans="1:52" ht="12" customHeight="1" thickTop="1" thickBot="1" x14ac:dyDescent="0.3">
      <c r="A12" s="81"/>
      <c r="B12" s="81"/>
      <c r="C12" s="81"/>
      <c r="D12" s="53" t="s">
        <v>143</v>
      </c>
      <c r="E12" s="53" t="s">
        <v>144</v>
      </c>
      <c r="F12" s="19"/>
      <c r="G12" s="81"/>
      <c r="H12" s="81"/>
      <c r="I12" s="81"/>
      <c r="J12" s="53" t="s">
        <v>143</v>
      </c>
      <c r="K12" s="53" t="s">
        <v>144</v>
      </c>
      <c r="L12" s="19"/>
      <c r="M12" s="81"/>
      <c r="N12" s="81"/>
      <c r="O12" s="81"/>
      <c r="P12" s="53" t="s">
        <v>143</v>
      </c>
      <c r="Q12" s="53" t="s">
        <v>144</v>
      </c>
      <c r="U12" s="90"/>
      <c r="V12" s="52">
        <v>1</v>
      </c>
      <c r="W12" s="52">
        <v>2</v>
      </c>
      <c r="X12" s="52">
        <v>3</v>
      </c>
      <c r="Y12" s="52">
        <v>4</v>
      </c>
      <c r="Z12" s="52">
        <v>5</v>
      </c>
      <c r="AA12" s="52">
        <v>6</v>
      </c>
      <c r="AB12" s="52">
        <v>7</v>
      </c>
      <c r="AC12" s="52">
        <v>8</v>
      </c>
      <c r="AD12" s="52">
        <v>9</v>
      </c>
      <c r="AE12" s="52">
        <v>10</v>
      </c>
      <c r="AF12" s="52">
        <v>11</v>
      </c>
      <c r="AG12" s="52">
        <v>12</v>
      </c>
      <c r="AH12" s="52">
        <v>13</v>
      </c>
      <c r="AI12" s="52">
        <v>14</v>
      </c>
      <c r="AJ12" s="52">
        <v>15</v>
      </c>
      <c r="AK12" s="52">
        <v>16</v>
      </c>
      <c r="AL12" s="52">
        <v>17</v>
      </c>
      <c r="AM12" s="52">
        <v>18</v>
      </c>
      <c r="AN12" s="52">
        <v>19</v>
      </c>
      <c r="AO12" s="52">
        <v>20</v>
      </c>
      <c r="AP12" s="52">
        <v>21</v>
      </c>
      <c r="AQ12" s="52">
        <v>22</v>
      </c>
      <c r="AR12" s="52">
        <v>23</v>
      </c>
      <c r="AS12" s="52">
        <v>24</v>
      </c>
      <c r="AT12" s="52">
        <v>25</v>
      </c>
      <c r="AU12" s="52">
        <v>26</v>
      </c>
      <c r="AV12" s="52">
        <v>27</v>
      </c>
      <c r="AW12" s="52">
        <v>28</v>
      </c>
      <c r="AX12" s="52">
        <v>29</v>
      </c>
      <c r="AY12" s="52">
        <v>30</v>
      </c>
      <c r="AZ12" s="88"/>
    </row>
    <row r="13" spans="1:52" ht="3.75" customHeight="1" thickTop="1" thickBot="1" x14ac:dyDescent="0.3"/>
    <row r="14" spans="1:52" s="11" customFormat="1" ht="17.100000000000001" customHeight="1" thickBot="1" x14ac:dyDescent="0.3">
      <c r="A14" s="70">
        <v>1</v>
      </c>
      <c r="B14" s="73" t="s">
        <v>3</v>
      </c>
      <c r="C14" s="73"/>
      <c r="D14" s="72"/>
      <c r="E14" s="72"/>
      <c r="G14" s="70">
        <v>22</v>
      </c>
      <c r="H14" s="73" t="s">
        <v>52</v>
      </c>
      <c r="I14" s="73"/>
      <c r="J14" s="72"/>
      <c r="K14" s="72"/>
      <c r="M14" s="70">
        <v>30</v>
      </c>
      <c r="N14" s="73" t="s">
        <v>101</v>
      </c>
      <c r="O14" s="73"/>
      <c r="P14" s="70">
        <v>90</v>
      </c>
      <c r="Q14" s="70">
        <v>60</v>
      </c>
      <c r="T14" s="56"/>
      <c r="U14" s="34" t="s">
        <v>151</v>
      </c>
      <c r="V14" s="52">
        <f>D14</f>
        <v>0</v>
      </c>
      <c r="W14" s="52">
        <f>D16</f>
        <v>0</v>
      </c>
      <c r="X14" s="52">
        <f>D17</f>
        <v>0</v>
      </c>
      <c r="Y14" s="52">
        <f>D19</f>
        <v>0</v>
      </c>
      <c r="Z14" s="52">
        <f>D21</f>
        <v>0</v>
      </c>
      <c r="AA14" s="52">
        <f>D22</f>
        <v>0</v>
      </c>
      <c r="AB14" s="52">
        <f>D24</f>
        <v>0</v>
      </c>
      <c r="AC14" s="52">
        <f>D26</f>
        <v>0</v>
      </c>
      <c r="AD14" s="52">
        <f>D28</f>
        <v>0</v>
      </c>
      <c r="AE14" s="52">
        <f>D30</f>
        <v>0</v>
      </c>
      <c r="AF14" s="52">
        <f>D32</f>
        <v>0</v>
      </c>
      <c r="AG14" s="52">
        <f>D35</f>
        <v>0</v>
      </c>
      <c r="AH14" s="52">
        <f>D37</f>
        <v>0</v>
      </c>
      <c r="AI14" s="52">
        <f>D40</f>
        <v>0</v>
      </c>
      <c r="AJ14" s="52">
        <f>D42</f>
        <v>0</v>
      </c>
      <c r="AK14" s="52">
        <f>D44</f>
        <v>0</v>
      </c>
      <c r="AL14" s="52">
        <f>D47</f>
        <v>0</v>
      </c>
      <c r="AM14" s="52">
        <f>D49</f>
        <v>0</v>
      </c>
      <c r="AN14" s="52">
        <f>D52</f>
        <v>0</v>
      </c>
      <c r="AO14" s="52">
        <f>D55</f>
        <v>0</v>
      </c>
      <c r="AP14" s="52">
        <f>D58</f>
        <v>0</v>
      </c>
      <c r="AQ14" s="52">
        <f>J14</f>
        <v>0</v>
      </c>
      <c r="AR14" s="52">
        <f>J18</f>
        <v>0</v>
      </c>
      <c r="AS14" s="52">
        <f>J22</f>
        <v>0</v>
      </c>
      <c r="AT14" s="52">
        <f>J25</f>
        <v>0</v>
      </c>
      <c r="AU14" s="52">
        <f>J30</f>
        <v>0</v>
      </c>
      <c r="AV14" s="52">
        <f>J36</f>
        <v>0</v>
      </c>
      <c r="AW14" s="52">
        <f>J43</f>
        <v>70</v>
      </c>
      <c r="AX14" s="52">
        <f>J52</f>
        <v>85</v>
      </c>
      <c r="AY14" s="52">
        <f>P14</f>
        <v>90</v>
      </c>
      <c r="AZ14" s="35">
        <f>AVERAGEIF(V14:AY14,"&gt;0")</f>
        <v>81.666666666666671</v>
      </c>
    </row>
    <row r="15" spans="1:52" s="11" customFormat="1" ht="17.100000000000001" customHeight="1" thickBot="1" x14ac:dyDescent="0.3">
      <c r="A15" s="70"/>
      <c r="B15" s="73" t="s">
        <v>4</v>
      </c>
      <c r="C15" s="73"/>
      <c r="D15" s="72"/>
      <c r="E15" s="72"/>
      <c r="G15" s="70"/>
      <c r="H15" s="73" t="s">
        <v>53</v>
      </c>
      <c r="I15" s="73"/>
      <c r="J15" s="72"/>
      <c r="K15" s="72"/>
      <c r="M15" s="70"/>
      <c r="N15" s="73" t="s">
        <v>102</v>
      </c>
      <c r="O15" s="73"/>
      <c r="P15" s="70"/>
      <c r="Q15" s="70"/>
      <c r="T15" s="56"/>
      <c r="U15" s="34" t="s">
        <v>152</v>
      </c>
      <c r="V15" s="52">
        <f>E14</f>
        <v>0</v>
      </c>
      <c r="W15" s="52">
        <f>E16</f>
        <v>0</v>
      </c>
      <c r="X15" s="52">
        <f>E17</f>
        <v>0</v>
      </c>
      <c r="Y15" s="52">
        <f>E19</f>
        <v>0</v>
      </c>
      <c r="Z15" s="52">
        <f>E21</f>
        <v>0</v>
      </c>
      <c r="AA15" s="52">
        <f>E22</f>
        <v>0</v>
      </c>
      <c r="AB15" s="52">
        <f>E24</f>
        <v>0</v>
      </c>
      <c r="AC15" s="52">
        <f>E26</f>
        <v>0</v>
      </c>
      <c r="AD15" s="52">
        <f>E28</f>
        <v>0</v>
      </c>
      <c r="AE15" s="52">
        <f>E30</f>
        <v>0</v>
      </c>
      <c r="AF15" s="52">
        <f>E32</f>
        <v>0</v>
      </c>
      <c r="AG15" s="52">
        <f>E35</f>
        <v>0</v>
      </c>
      <c r="AH15" s="52">
        <f>E37</f>
        <v>0</v>
      </c>
      <c r="AI15" s="52">
        <f>E40</f>
        <v>0</v>
      </c>
      <c r="AJ15" s="52">
        <f>E42</f>
        <v>0</v>
      </c>
      <c r="AK15" s="52">
        <f>E44</f>
        <v>0</v>
      </c>
      <c r="AL15" s="52">
        <f>E47</f>
        <v>0</v>
      </c>
      <c r="AM15" s="52">
        <f>E49</f>
        <v>0</v>
      </c>
      <c r="AN15" s="52">
        <f>E52</f>
        <v>0</v>
      </c>
      <c r="AO15" s="52">
        <f>E55</f>
        <v>0</v>
      </c>
      <c r="AP15" s="52">
        <f>E58</f>
        <v>0</v>
      </c>
      <c r="AQ15" s="52">
        <f>K14</f>
        <v>0</v>
      </c>
      <c r="AR15" s="52">
        <f>K18</f>
        <v>0</v>
      </c>
      <c r="AS15" s="52">
        <f>K22</f>
        <v>0</v>
      </c>
      <c r="AT15" s="52">
        <f>K25</f>
        <v>0</v>
      </c>
      <c r="AU15" s="52">
        <f>K30</f>
        <v>0</v>
      </c>
      <c r="AV15" s="52">
        <f>K36</f>
        <v>0</v>
      </c>
      <c r="AW15" s="52">
        <f>K43</f>
        <v>60</v>
      </c>
      <c r="AX15" s="52">
        <f>K52</f>
        <v>60</v>
      </c>
      <c r="AY15" s="52">
        <f>Q14</f>
        <v>60</v>
      </c>
      <c r="AZ15" s="35">
        <f>AVERAGEIF(V15:AY15,"&lt;&gt;0")</f>
        <v>60</v>
      </c>
    </row>
    <row r="16" spans="1:52" s="11" customFormat="1" ht="17.100000000000001" customHeight="1" thickBot="1" x14ac:dyDescent="0.3">
      <c r="A16" s="55">
        <v>2</v>
      </c>
      <c r="B16" s="73" t="s">
        <v>6</v>
      </c>
      <c r="C16" s="73"/>
      <c r="D16" s="54"/>
      <c r="E16" s="54"/>
      <c r="G16" s="70"/>
      <c r="H16" s="73" t="s">
        <v>54</v>
      </c>
      <c r="I16" s="73"/>
      <c r="J16" s="72"/>
      <c r="K16" s="72"/>
      <c r="M16" s="70"/>
      <c r="N16" s="73" t="s">
        <v>103</v>
      </c>
      <c r="O16" s="73"/>
      <c r="P16" s="70"/>
      <c r="Q16" s="70"/>
      <c r="T16" s="56"/>
      <c r="U16" s="32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s="11" customFormat="1" ht="17.100000000000001" customHeight="1" thickBot="1" x14ac:dyDescent="0.3">
      <c r="A17" s="70">
        <v>3</v>
      </c>
      <c r="B17" s="73" t="s">
        <v>5</v>
      </c>
      <c r="C17" s="73"/>
      <c r="D17" s="72"/>
      <c r="E17" s="72"/>
      <c r="G17" s="70"/>
      <c r="H17" s="73" t="s">
        <v>55</v>
      </c>
      <c r="I17" s="73"/>
      <c r="J17" s="72"/>
      <c r="K17" s="72"/>
      <c r="M17" s="70"/>
      <c r="N17" s="73" t="s">
        <v>104</v>
      </c>
      <c r="O17" s="73"/>
      <c r="P17" s="70"/>
      <c r="Q17" s="70"/>
      <c r="T17" s="56"/>
      <c r="U17" s="32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</row>
    <row r="18" spans="1:52" s="11" customFormat="1" ht="17.100000000000001" customHeight="1" thickBot="1" x14ac:dyDescent="0.3">
      <c r="A18" s="70"/>
      <c r="B18" s="73" t="s">
        <v>7</v>
      </c>
      <c r="C18" s="73"/>
      <c r="D18" s="72"/>
      <c r="E18" s="72"/>
      <c r="G18" s="70">
        <v>23</v>
      </c>
      <c r="H18" s="73" t="s">
        <v>56</v>
      </c>
      <c r="I18" s="73"/>
      <c r="J18" s="70"/>
      <c r="K18" s="70"/>
      <c r="M18" s="70"/>
      <c r="N18" s="73" t="s">
        <v>105</v>
      </c>
      <c r="O18" s="73"/>
      <c r="P18" s="70"/>
      <c r="Q18" s="70"/>
      <c r="T18" s="56"/>
      <c r="U18" s="32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</row>
    <row r="19" spans="1:52" s="11" customFormat="1" ht="17.100000000000001" customHeight="1" thickBot="1" x14ac:dyDescent="0.3">
      <c r="A19" s="70">
        <v>4</v>
      </c>
      <c r="B19" s="73" t="s">
        <v>8</v>
      </c>
      <c r="C19" s="73"/>
      <c r="D19" s="72"/>
      <c r="E19" s="70"/>
      <c r="G19" s="70"/>
      <c r="H19" s="73" t="s">
        <v>57</v>
      </c>
      <c r="I19" s="73"/>
      <c r="J19" s="70"/>
      <c r="K19" s="70"/>
      <c r="M19" s="70"/>
      <c r="N19" s="73" t="s">
        <v>106</v>
      </c>
      <c r="O19" s="73"/>
      <c r="P19" s="70"/>
      <c r="Q19" s="70"/>
      <c r="T19" s="56"/>
      <c r="U19" s="32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</row>
    <row r="20" spans="1:52" s="11" customFormat="1" ht="17.100000000000001" customHeight="1" thickBot="1" x14ac:dyDescent="0.3">
      <c r="A20" s="70"/>
      <c r="B20" s="73" t="s">
        <v>9</v>
      </c>
      <c r="C20" s="73"/>
      <c r="D20" s="72"/>
      <c r="E20" s="70"/>
      <c r="G20" s="70"/>
      <c r="H20" s="73" t="s">
        <v>58</v>
      </c>
      <c r="I20" s="73"/>
      <c r="J20" s="70"/>
      <c r="K20" s="70"/>
      <c r="M20" s="70"/>
      <c r="N20" s="73" t="s">
        <v>107</v>
      </c>
      <c r="O20" s="73"/>
      <c r="P20" s="70"/>
      <c r="Q20" s="70"/>
      <c r="T20" s="56"/>
      <c r="U20" s="32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</row>
    <row r="21" spans="1:52" s="11" customFormat="1" ht="17.100000000000001" customHeight="1" thickBot="1" x14ac:dyDescent="0.3">
      <c r="A21" s="55">
        <v>5</v>
      </c>
      <c r="B21" s="73" t="s">
        <v>10</v>
      </c>
      <c r="C21" s="73"/>
      <c r="D21" s="54"/>
      <c r="E21" s="54"/>
      <c r="G21" s="70"/>
      <c r="H21" s="73" t="s">
        <v>59</v>
      </c>
      <c r="I21" s="73"/>
      <c r="J21" s="70"/>
      <c r="K21" s="70"/>
      <c r="M21" s="70"/>
      <c r="N21" s="73" t="s">
        <v>108</v>
      </c>
      <c r="O21" s="73"/>
      <c r="P21" s="70"/>
      <c r="Q21" s="70"/>
      <c r="T21" s="56"/>
      <c r="U21" s="32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</row>
    <row r="22" spans="1:52" s="11" customFormat="1" ht="17.100000000000001" customHeight="1" thickBot="1" x14ac:dyDescent="0.3">
      <c r="A22" s="70">
        <v>6</v>
      </c>
      <c r="B22" s="73" t="s">
        <v>11</v>
      </c>
      <c r="C22" s="73"/>
      <c r="D22" s="72"/>
      <c r="E22" s="70"/>
      <c r="G22" s="70">
        <v>24</v>
      </c>
      <c r="H22" s="73" t="s">
        <v>60</v>
      </c>
      <c r="I22" s="73"/>
      <c r="J22" s="70"/>
      <c r="K22" s="70"/>
      <c r="M22" s="70"/>
      <c r="N22" s="73" t="s">
        <v>109</v>
      </c>
      <c r="O22" s="73"/>
      <c r="P22" s="70"/>
      <c r="Q22" s="70"/>
      <c r="T22" s="56"/>
      <c r="U22" s="32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</row>
    <row r="23" spans="1:52" s="11" customFormat="1" ht="17.100000000000001" customHeight="1" thickBot="1" x14ac:dyDescent="0.3">
      <c r="A23" s="70"/>
      <c r="B23" s="73" t="s">
        <v>12</v>
      </c>
      <c r="C23" s="73"/>
      <c r="D23" s="72"/>
      <c r="E23" s="70"/>
      <c r="G23" s="70"/>
      <c r="H23" s="73" t="s">
        <v>61</v>
      </c>
      <c r="I23" s="73"/>
      <c r="J23" s="70"/>
      <c r="K23" s="70"/>
      <c r="M23" s="70"/>
      <c r="N23" s="73" t="s">
        <v>110</v>
      </c>
      <c r="O23" s="73"/>
      <c r="P23" s="70"/>
      <c r="Q23" s="70"/>
      <c r="T23" s="56"/>
      <c r="U23" s="32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</row>
    <row r="24" spans="1:52" s="11" customFormat="1" ht="17.100000000000001" customHeight="1" thickBot="1" x14ac:dyDescent="0.3">
      <c r="A24" s="70">
        <v>7</v>
      </c>
      <c r="B24" s="73" t="s">
        <v>13</v>
      </c>
      <c r="C24" s="73"/>
      <c r="D24" s="70"/>
      <c r="E24" s="70"/>
      <c r="G24" s="70"/>
      <c r="H24" s="73" t="s">
        <v>62</v>
      </c>
      <c r="I24" s="73"/>
      <c r="J24" s="70"/>
      <c r="K24" s="70"/>
      <c r="M24" s="70"/>
      <c r="N24" s="73" t="s">
        <v>111</v>
      </c>
      <c r="O24" s="73"/>
      <c r="P24" s="70"/>
      <c r="Q24" s="70"/>
      <c r="T24" s="56"/>
      <c r="U24" s="32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</row>
    <row r="25" spans="1:52" s="11" customFormat="1" ht="17.100000000000001" customHeight="1" thickBot="1" x14ac:dyDescent="0.3">
      <c r="A25" s="70"/>
      <c r="B25" s="73" t="s">
        <v>14</v>
      </c>
      <c r="C25" s="73"/>
      <c r="D25" s="70"/>
      <c r="E25" s="70"/>
      <c r="G25" s="70">
        <v>25</v>
      </c>
      <c r="H25" s="73" t="s">
        <v>63</v>
      </c>
      <c r="I25" s="73"/>
      <c r="J25" s="70"/>
      <c r="K25" s="70"/>
      <c r="M25" s="70"/>
      <c r="N25" s="73" t="s">
        <v>112</v>
      </c>
      <c r="O25" s="73"/>
      <c r="P25" s="70"/>
      <c r="Q25" s="70"/>
      <c r="T25" s="56"/>
      <c r="U25" s="32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</row>
    <row r="26" spans="1:52" s="11" customFormat="1" ht="17.100000000000001" customHeight="1" thickBot="1" x14ac:dyDescent="0.3">
      <c r="A26" s="70">
        <v>8</v>
      </c>
      <c r="B26" s="73" t="s">
        <v>15</v>
      </c>
      <c r="C26" s="73"/>
      <c r="D26" s="70"/>
      <c r="E26" s="70"/>
      <c r="G26" s="70"/>
      <c r="H26" s="73" t="s">
        <v>64</v>
      </c>
      <c r="I26" s="73"/>
      <c r="J26" s="70"/>
      <c r="K26" s="70"/>
      <c r="M26" s="70"/>
      <c r="N26" s="73" t="s">
        <v>113</v>
      </c>
      <c r="O26" s="73"/>
      <c r="P26" s="70"/>
      <c r="Q26" s="70"/>
      <c r="T26" s="56"/>
      <c r="U26" s="32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</row>
    <row r="27" spans="1:52" s="11" customFormat="1" ht="17.100000000000001" customHeight="1" thickBot="1" x14ac:dyDescent="0.3">
      <c r="A27" s="70"/>
      <c r="B27" s="73" t="s">
        <v>16</v>
      </c>
      <c r="C27" s="73"/>
      <c r="D27" s="70"/>
      <c r="E27" s="70"/>
      <c r="G27" s="70"/>
      <c r="H27" s="73" t="s">
        <v>65</v>
      </c>
      <c r="I27" s="73"/>
      <c r="J27" s="70"/>
      <c r="K27" s="70"/>
      <c r="M27" s="70"/>
      <c r="N27" s="73" t="s">
        <v>114</v>
      </c>
      <c r="O27" s="73"/>
      <c r="P27" s="70"/>
      <c r="Q27" s="70"/>
      <c r="T27" s="56"/>
      <c r="U27" s="32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</row>
    <row r="28" spans="1:52" s="11" customFormat="1" ht="17.100000000000001" customHeight="1" thickBot="1" x14ac:dyDescent="0.3">
      <c r="A28" s="70">
        <v>9</v>
      </c>
      <c r="B28" s="73" t="s">
        <v>17</v>
      </c>
      <c r="C28" s="73"/>
      <c r="D28" s="70"/>
      <c r="E28" s="70"/>
      <c r="G28" s="70"/>
      <c r="H28" s="73" t="s">
        <v>66</v>
      </c>
      <c r="I28" s="73"/>
      <c r="J28" s="70"/>
      <c r="K28" s="70"/>
      <c r="M28" s="70"/>
      <c r="N28" s="73" t="s">
        <v>115</v>
      </c>
      <c r="O28" s="73"/>
      <c r="P28" s="70"/>
      <c r="Q28" s="70"/>
      <c r="T28" s="56"/>
      <c r="U28" s="32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</row>
    <row r="29" spans="1:52" s="11" customFormat="1" ht="17.100000000000001" customHeight="1" thickBot="1" x14ac:dyDescent="0.3">
      <c r="A29" s="70"/>
      <c r="B29" s="73" t="s">
        <v>18</v>
      </c>
      <c r="C29" s="73"/>
      <c r="D29" s="70"/>
      <c r="E29" s="70"/>
      <c r="G29" s="70"/>
      <c r="H29" s="73" t="s">
        <v>67</v>
      </c>
      <c r="I29" s="73"/>
      <c r="J29" s="70"/>
      <c r="K29" s="70"/>
      <c r="M29" s="70"/>
      <c r="N29" s="73" t="s">
        <v>116</v>
      </c>
      <c r="O29" s="73"/>
      <c r="P29" s="70"/>
      <c r="Q29" s="70"/>
      <c r="T29" s="56"/>
      <c r="U29" s="32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</row>
    <row r="30" spans="1:52" s="11" customFormat="1" ht="17.100000000000001" customHeight="1" thickBot="1" x14ac:dyDescent="0.3">
      <c r="A30" s="70">
        <v>10</v>
      </c>
      <c r="B30" s="73" t="s">
        <v>19</v>
      </c>
      <c r="C30" s="73"/>
      <c r="D30" s="70"/>
      <c r="E30" s="70"/>
      <c r="G30" s="70">
        <v>26</v>
      </c>
      <c r="H30" s="73" t="s">
        <v>68</v>
      </c>
      <c r="I30" s="73"/>
      <c r="J30" s="70"/>
      <c r="K30" s="70"/>
      <c r="M30" s="70"/>
      <c r="N30" s="73" t="s">
        <v>117</v>
      </c>
      <c r="O30" s="73"/>
      <c r="P30" s="70"/>
      <c r="Q30" s="70"/>
      <c r="T30" s="56"/>
      <c r="U30" s="32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52" s="11" customFormat="1" ht="17.100000000000001" customHeight="1" thickBot="1" x14ac:dyDescent="0.3">
      <c r="A31" s="70"/>
      <c r="B31" s="73" t="s">
        <v>20</v>
      </c>
      <c r="C31" s="73"/>
      <c r="D31" s="70"/>
      <c r="E31" s="70"/>
      <c r="G31" s="70"/>
      <c r="H31" s="73" t="s">
        <v>69</v>
      </c>
      <c r="I31" s="73"/>
      <c r="J31" s="70"/>
      <c r="K31" s="70"/>
      <c r="M31" s="70"/>
      <c r="N31" s="73" t="s">
        <v>118</v>
      </c>
      <c r="O31" s="73"/>
      <c r="P31" s="70"/>
      <c r="Q31" s="70"/>
      <c r="T31" s="56"/>
      <c r="U31" s="32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52" s="11" customFormat="1" ht="17.100000000000001" customHeight="1" thickBot="1" x14ac:dyDescent="0.3">
      <c r="A32" s="70">
        <v>11</v>
      </c>
      <c r="B32" s="73" t="s">
        <v>21</v>
      </c>
      <c r="C32" s="73"/>
      <c r="D32" s="72"/>
      <c r="E32" s="72"/>
      <c r="G32" s="70"/>
      <c r="H32" s="73" t="s">
        <v>70</v>
      </c>
      <c r="I32" s="73"/>
      <c r="J32" s="70"/>
      <c r="K32" s="70"/>
      <c r="M32" s="70"/>
      <c r="N32" s="73" t="s">
        <v>119</v>
      </c>
      <c r="O32" s="73"/>
      <c r="P32" s="70"/>
      <c r="Q32" s="70"/>
      <c r="T32" s="56"/>
      <c r="U32" s="32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 spans="1:52" s="11" customFormat="1" ht="17.100000000000001" customHeight="1" thickBot="1" x14ac:dyDescent="0.3">
      <c r="A33" s="70"/>
      <c r="B33" s="73" t="s">
        <v>22</v>
      </c>
      <c r="C33" s="73"/>
      <c r="D33" s="72"/>
      <c r="E33" s="72"/>
      <c r="G33" s="70"/>
      <c r="H33" s="73" t="s">
        <v>71</v>
      </c>
      <c r="I33" s="73"/>
      <c r="J33" s="70"/>
      <c r="K33" s="70"/>
      <c r="M33" s="70"/>
      <c r="N33" s="73" t="s">
        <v>120</v>
      </c>
      <c r="O33" s="73"/>
      <c r="P33" s="70"/>
      <c r="Q33" s="70"/>
      <c r="T33" s="56"/>
      <c r="U33" s="32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 spans="1:52" s="11" customFormat="1" ht="17.100000000000001" customHeight="1" thickBot="1" x14ac:dyDescent="0.3">
      <c r="A34" s="70"/>
      <c r="B34" s="73" t="s">
        <v>23</v>
      </c>
      <c r="C34" s="73"/>
      <c r="D34" s="72"/>
      <c r="E34" s="72"/>
      <c r="G34" s="70"/>
      <c r="H34" s="73" t="s">
        <v>72</v>
      </c>
      <c r="I34" s="73"/>
      <c r="J34" s="70"/>
      <c r="K34" s="70"/>
      <c r="M34" s="70"/>
      <c r="N34" s="73" t="s">
        <v>121</v>
      </c>
      <c r="O34" s="73"/>
      <c r="P34" s="70"/>
      <c r="Q34" s="70"/>
      <c r="T34" s="56"/>
      <c r="U34" s="32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</row>
    <row r="35" spans="1:52" s="11" customFormat="1" ht="17.100000000000001" customHeight="1" thickBot="1" x14ac:dyDescent="0.3">
      <c r="A35" s="70">
        <v>12</v>
      </c>
      <c r="B35" s="73" t="s">
        <v>24</v>
      </c>
      <c r="C35" s="73"/>
      <c r="D35" s="70"/>
      <c r="E35" s="70"/>
      <c r="G35" s="70"/>
      <c r="H35" s="73" t="s">
        <v>73</v>
      </c>
      <c r="I35" s="73"/>
      <c r="J35" s="70"/>
      <c r="K35" s="70"/>
      <c r="M35" s="70"/>
      <c r="N35" s="73" t="s">
        <v>122</v>
      </c>
      <c r="O35" s="73"/>
      <c r="P35" s="70"/>
      <c r="Q35" s="70"/>
      <c r="T35" s="56"/>
      <c r="U35" s="32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</row>
    <row r="36" spans="1:52" s="11" customFormat="1" ht="17.100000000000001" customHeight="1" thickBot="1" x14ac:dyDescent="0.3">
      <c r="A36" s="70"/>
      <c r="B36" s="73" t="s">
        <v>25</v>
      </c>
      <c r="C36" s="73"/>
      <c r="D36" s="70"/>
      <c r="E36" s="70"/>
      <c r="G36" s="70">
        <v>27</v>
      </c>
      <c r="H36" s="73" t="s">
        <v>74</v>
      </c>
      <c r="I36" s="73"/>
      <c r="J36" s="70"/>
      <c r="K36" s="70"/>
      <c r="M36" s="70"/>
      <c r="N36" s="73" t="s">
        <v>123</v>
      </c>
      <c r="O36" s="73"/>
      <c r="P36" s="70"/>
      <c r="Q36" s="70"/>
      <c r="T36" s="56"/>
      <c r="U36" s="32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</row>
    <row r="37" spans="1:52" s="11" customFormat="1" ht="17.100000000000001" customHeight="1" thickBot="1" x14ac:dyDescent="0.3">
      <c r="A37" s="70">
        <v>13</v>
      </c>
      <c r="B37" s="73" t="s">
        <v>26</v>
      </c>
      <c r="C37" s="73"/>
      <c r="D37" s="72"/>
      <c r="E37" s="72"/>
      <c r="G37" s="70"/>
      <c r="H37" s="73" t="s">
        <v>75</v>
      </c>
      <c r="I37" s="73"/>
      <c r="J37" s="70"/>
      <c r="K37" s="70"/>
      <c r="M37" s="70"/>
      <c r="N37" s="73" t="s">
        <v>124</v>
      </c>
      <c r="O37" s="73"/>
      <c r="P37" s="70"/>
      <c r="Q37" s="70"/>
      <c r="T37" s="56"/>
      <c r="U37" s="32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</row>
    <row r="38" spans="1:52" s="11" customFormat="1" ht="17.100000000000001" customHeight="1" thickBot="1" x14ac:dyDescent="0.3">
      <c r="A38" s="70"/>
      <c r="B38" s="73" t="s">
        <v>27</v>
      </c>
      <c r="C38" s="73"/>
      <c r="D38" s="72"/>
      <c r="E38" s="72"/>
      <c r="G38" s="70"/>
      <c r="H38" s="73" t="s">
        <v>76</v>
      </c>
      <c r="I38" s="73"/>
      <c r="J38" s="70"/>
      <c r="K38" s="70"/>
      <c r="M38" s="70"/>
      <c r="N38" s="73" t="s">
        <v>125</v>
      </c>
      <c r="O38" s="73"/>
      <c r="P38" s="70"/>
      <c r="Q38" s="70"/>
      <c r="T38" s="56"/>
      <c r="U38" s="32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</row>
    <row r="39" spans="1:52" s="11" customFormat="1" ht="17.100000000000001" customHeight="1" thickBot="1" x14ac:dyDescent="0.3">
      <c r="A39" s="70"/>
      <c r="B39" s="73" t="s">
        <v>28</v>
      </c>
      <c r="C39" s="73"/>
      <c r="D39" s="72"/>
      <c r="E39" s="72"/>
      <c r="G39" s="70"/>
      <c r="H39" s="73" t="s">
        <v>77</v>
      </c>
      <c r="I39" s="73"/>
      <c r="J39" s="70"/>
      <c r="K39" s="70"/>
      <c r="M39" s="70"/>
      <c r="N39" s="73" t="s">
        <v>126</v>
      </c>
      <c r="O39" s="73"/>
      <c r="P39" s="70"/>
      <c r="Q39" s="70"/>
      <c r="T39" s="56"/>
      <c r="U39" s="32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 spans="1:52" s="11" customFormat="1" ht="17.100000000000001" customHeight="1" thickBot="1" x14ac:dyDescent="0.3">
      <c r="A40" s="70">
        <v>14</v>
      </c>
      <c r="B40" s="73" t="s">
        <v>29</v>
      </c>
      <c r="C40" s="73"/>
      <c r="D40" s="70"/>
      <c r="E40" s="70"/>
      <c r="G40" s="70"/>
      <c r="H40" s="73" t="s">
        <v>78</v>
      </c>
      <c r="I40" s="73"/>
      <c r="J40" s="70"/>
      <c r="K40" s="70"/>
      <c r="M40" s="70"/>
      <c r="N40" s="73" t="s">
        <v>127</v>
      </c>
      <c r="O40" s="73"/>
      <c r="P40" s="70"/>
      <c r="Q40" s="70"/>
      <c r="T40" s="56"/>
      <c r="U40" s="32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</row>
    <row r="41" spans="1:52" s="11" customFormat="1" ht="17.100000000000001" customHeight="1" thickBot="1" x14ac:dyDescent="0.3">
      <c r="A41" s="70"/>
      <c r="B41" s="73" t="s">
        <v>30</v>
      </c>
      <c r="C41" s="73"/>
      <c r="D41" s="70"/>
      <c r="E41" s="70"/>
      <c r="G41" s="70"/>
      <c r="H41" s="73" t="s">
        <v>79</v>
      </c>
      <c r="I41" s="73"/>
      <c r="J41" s="70"/>
      <c r="K41" s="70"/>
      <c r="M41" s="70"/>
      <c r="N41" s="73" t="s">
        <v>128</v>
      </c>
      <c r="O41" s="73"/>
      <c r="P41" s="70"/>
      <c r="Q41" s="70"/>
      <c r="T41" s="56"/>
      <c r="U41" s="32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  <row r="42" spans="1:52" s="11" customFormat="1" ht="17.100000000000001" customHeight="1" thickBot="1" x14ac:dyDescent="0.3">
      <c r="A42" s="70">
        <v>15</v>
      </c>
      <c r="B42" s="73" t="s">
        <v>31</v>
      </c>
      <c r="C42" s="73"/>
      <c r="D42" s="70"/>
      <c r="E42" s="70"/>
      <c r="G42" s="70"/>
      <c r="H42" s="73" t="s">
        <v>80</v>
      </c>
      <c r="I42" s="73"/>
      <c r="J42" s="70"/>
      <c r="K42" s="70"/>
      <c r="M42" s="70"/>
      <c r="N42" s="73" t="s">
        <v>129</v>
      </c>
      <c r="O42" s="73"/>
      <c r="P42" s="70"/>
      <c r="Q42" s="70"/>
      <c r="T42" s="56"/>
      <c r="U42" s="32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</row>
    <row r="43" spans="1:52" s="11" customFormat="1" ht="17.100000000000001" customHeight="1" thickBot="1" x14ac:dyDescent="0.3">
      <c r="A43" s="70"/>
      <c r="B43" s="73" t="s">
        <v>32</v>
      </c>
      <c r="C43" s="73"/>
      <c r="D43" s="70"/>
      <c r="E43" s="70"/>
      <c r="G43" s="70">
        <v>28</v>
      </c>
      <c r="H43" s="73" t="s">
        <v>81</v>
      </c>
      <c r="I43" s="73"/>
      <c r="J43" s="70">
        <v>70</v>
      </c>
      <c r="K43" s="70">
        <v>60</v>
      </c>
      <c r="M43" s="70"/>
      <c r="N43" s="73" t="s">
        <v>130</v>
      </c>
      <c r="O43" s="73"/>
      <c r="P43" s="70"/>
      <c r="Q43" s="70"/>
      <c r="T43" s="56"/>
      <c r="U43" s="32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</row>
    <row r="44" spans="1:52" s="11" customFormat="1" ht="17.100000000000001" customHeight="1" thickBot="1" x14ac:dyDescent="0.3">
      <c r="A44" s="70">
        <v>16</v>
      </c>
      <c r="B44" s="73" t="s">
        <v>33</v>
      </c>
      <c r="C44" s="73"/>
      <c r="D44" s="72"/>
      <c r="E44" s="72"/>
      <c r="G44" s="70"/>
      <c r="H44" s="73" t="s">
        <v>82</v>
      </c>
      <c r="I44" s="73"/>
      <c r="J44" s="70"/>
      <c r="K44" s="70"/>
      <c r="M44" s="70"/>
      <c r="N44" s="73" t="s">
        <v>131</v>
      </c>
      <c r="O44" s="73"/>
      <c r="P44" s="70"/>
      <c r="Q44" s="70"/>
      <c r="T44" s="56"/>
      <c r="U44" s="32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</row>
    <row r="45" spans="1:52" s="11" customFormat="1" ht="17.100000000000001" customHeight="1" thickBot="1" x14ac:dyDescent="0.3">
      <c r="A45" s="70"/>
      <c r="B45" s="73" t="s">
        <v>34</v>
      </c>
      <c r="C45" s="73"/>
      <c r="D45" s="72"/>
      <c r="E45" s="72"/>
      <c r="G45" s="70"/>
      <c r="H45" s="73" t="s">
        <v>83</v>
      </c>
      <c r="I45" s="73"/>
      <c r="J45" s="70"/>
      <c r="K45" s="70"/>
      <c r="M45" s="70"/>
      <c r="N45" s="73" t="s">
        <v>132</v>
      </c>
      <c r="O45" s="73"/>
      <c r="P45" s="70"/>
      <c r="Q45" s="70"/>
      <c r="T45" s="56"/>
      <c r="U45" s="32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</row>
    <row r="46" spans="1:52" s="11" customFormat="1" ht="17.100000000000001" customHeight="1" thickBot="1" x14ac:dyDescent="0.3">
      <c r="A46" s="70"/>
      <c r="B46" s="73" t="s">
        <v>35</v>
      </c>
      <c r="C46" s="73"/>
      <c r="D46" s="72"/>
      <c r="E46" s="72"/>
      <c r="G46" s="70"/>
      <c r="H46" s="73" t="s">
        <v>84</v>
      </c>
      <c r="I46" s="73"/>
      <c r="J46" s="70"/>
      <c r="K46" s="70"/>
      <c r="M46" s="70"/>
      <c r="N46" s="73" t="s">
        <v>133</v>
      </c>
      <c r="O46" s="73"/>
      <c r="P46" s="70"/>
      <c r="Q46" s="70"/>
      <c r="T46" s="56"/>
      <c r="U46" s="32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</row>
    <row r="47" spans="1:52" s="11" customFormat="1" ht="17.100000000000001" customHeight="1" thickBot="1" x14ac:dyDescent="0.3">
      <c r="A47" s="70">
        <v>17</v>
      </c>
      <c r="B47" s="73" t="s">
        <v>36</v>
      </c>
      <c r="C47" s="73"/>
      <c r="D47" s="70"/>
      <c r="E47" s="70"/>
      <c r="G47" s="70"/>
      <c r="H47" s="73" t="s">
        <v>85</v>
      </c>
      <c r="I47" s="73"/>
      <c r="J47" s="70"/>
      <c r="K47" s="70"/>
      <c r="M47" s="70"/>
      <c r="N47" s="73" t="s">
        <v>134</v>
      </c>
      <c r="O47" s="73"/>
      <c r="P47" s="70"/>
      <c r="Q47" s="70"/>
      <c r="T47" s="56"/>
      <c r="U47" s="32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</row>
    <row r="48" spans="1:52" s="11" customFormat="1" ht="17.100000000000001" customHeight="1" thickBot="1" x14ac:dyDescent="0.3">
      <c r="A48" s="70"/>
      <c r="B48" s="73" t="s">
        <v>37</v>
      </c>
      <c r="C48" s="73"/>
      <c r="D48" s="70"/>
      <c r="E48" s="70"/>
      <c r="G48" s="70"/>
      <c r="H48" s="73" t="s">
        <v>86</v>
      </c>
      <c r="I48" s="73"/>
      <c r="J48" s="70"/>
      <c r="K48" s="70"/>
      <c r="M48" s="70"/>
      <c r="N48" s="73" t="s">
        <v>135</v>
      </c>
      <c r="O48" s="73"/>
      <c r="P48" s="70"/>
      <c r="Q48" s="70"/>
      <c r="T48" s="56"/>
      <c r="U48" s="32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</row>
    <row r="49" spans="1:52" s="11" customFormat="1" ht="17.100000000000001" customHeight="1" thickBot="1" x14ac:dyDescent="0.3">
      <c r="A49" s="70">
        <v>18</v>
      </c>
      <c r="B49" s="73" t="s">
        <v>38</v>
      </c>
      <c r="C49" s="73"/>
      <c r="D49" s="72"/>
      <c r="E49" s="72"/>
      <c r="G49" s="70"/>
      <c r="H49" s="73" t="s">
        <v>87</v>
      </c>
      <c r="I49" s="73"/>
      <c r="J49" s="70"/>
      <c r="K49" s="70"/>
      <c r="M49" s="70"/>
      <c r="N49" s="73" t="s">
        <v>136</v>
      </c>
      <c r="O49" s="73"/>
      <c r="P49" s="70"/>
      <c r="Q49" s="70"/>
      <c r="T49" s="56"/>
      <c r="U49" s="32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</row>
    <row r="50" spans="1:52" s="11" customFormat="1" ht="17.100000000000001" customHeight="1" thickBot="1" x14ac:dyDescent="0.3">
      <c r="A50" s="70"/>
      <c r="B50" s="73" t="s">
        <v>39</v>
      </c>
      <c r="C50" s="73"/>
      <c r="D50" s="72"/>
      <c r="E50" s="72"/>
      <c r="G50" s="70"/>
      <c r="H50" s="73" t="s">
        <v>88</v>
      </c>
      <c r="I50" s="73"/>
      <c r="J50" s="70"/>
      <c r="K50" s="70"/>
      <c r="M50" s="71"/>
      <c r="N50" s="84" t="s">
        <v>137</v>
      </c>
      <c r="O50" s="84"/>
      <c r="P50" s="71"/>
      <c r="Q50" s="71"/>
      <c r="T50" s="56"/>
      <c r="U50" s="32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</row>
    <row r="51" spans="1:52" s="11" customFormat="1" ht="17.100000000000001" customHeight="1" thickTop="1" thickBot="1" x14ac:dyDescent="0.3">
      <c r="A51" s="70"/>
      <c r="B51" s="73" t="s">
        <v>41</v>
      </c>
      <c r="C51" s="73"/>
      <c r="D51" s="72"/>
      <c r="E51" s="72"/>
      <c r="G51" s="70"/>
      <c r="H51" s="73" t="s">
        <v>89</v>
      </c>
      <c r="I51" s="73"/>
      <c r="J51" s="70"/>
      <c r="K51" s="70"/>
      <c r="M51" s="74" t="s">
        <v>145</v>
      </c>
      <c r="N51" s="74"/>
      <c r="O51" s="74"/>
      <c r="P51" s="82">
        <f>AZ14</f>
        <v>81.666666666666671</v>
      </c>
      <c r="Q51" s="82">
        <f>AZ15</f>
        <v>60</v>
      </c>
      <c r="T51" s="56"/>
      <c r="U51" s="32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</row>
    <row r="52" spans="1:52" s="11" customFormat="1" ht="17.100000000000001" customHeight="1" thickBot="1" x14ac:dyDescent="0.3">
      <c r="A52" s="70">
        <v>19</v>
      </c>
      <c r="B52" s="73" t="s">
        <v>42</v>
      </c>
      <c r="C52" s="73"/>
      <c r="D52" s="72"/>
      <c r="E52" s="72"/>
      <c r="G52" s="70">
        <v>29</v>
      </c>
      <c r="H52" s="93" t="s">
        <v>90</v>
      </c>
      <c r="I52" s="93"/>
      <c r="J52" s="70">
        <v>85</v>
      </c>
      <c r="K52" s="70">
        <v>60</v>
      </c>
      <c r="M52" s="75"/>
      <c r="N52" s="75"/>
      <c r="O52" s="75"/>
      <c r="P52" s="83"/>
      <c r="Q52" s="83"/>
      <c r="T52" s="56"/>
      <c r="U52" s="32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</row>
    <row r="53" spans="1:52" s="11" customFormat="1" ht="17.100000000000001" customHeight="1" thickBot="1" x14ac:dyDescent="0.3">
      <c r="A53" s="70"/>
      <c r="B53" s="73" t="s">
        <v>40</v>
      </c>
      <c r="C53" s="73"/>
      <c r="D53" s="72"/>
      <c r="E53" s="72"/>
      <c r="G53" s="70"/>
      <c r="H53" s="93" t="s">
        <v>91</v>
      </c>
      <c r="I53" s="93"/>
      <c r="J53" s="70"/>
      <c r="K53" s="70"/>
      <c r="M53" s="39" t="s">
        <v>163</v>
      </c>
      <c r="N53" s="13"/>
      <c r="P53" s="56"/>
      <c r="Q53" s="56"/>
      <c r="T53" s="56"/>
      <c r="U53" s="32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</row>
    <row r="54" spans="1:52" s="11" customFormat="1" ht="17.100000000000001" customHeight="1" thickBot="1" x14ac:dyDescent="0.3">
      <c r="A54" s="70"/>
      <c r="B54" s="73" t="s">
        <v>43</v>
      </c>
      <c r="C54" s="73"/>
      <c r="D54" s="72"/>
      <c r="E54" s="72"/>
      <c r="G54" s="70"/>
      <c r="H54" s="73" t="s">
        <v>92</v>
      </c>
      <c r="I54" s="73"/>
      <c r="J54" s="70"/>
      <c r="K54" s="70"/>
      <c r="M54" s="12"/>
      <c r="N54" s="15"/>
      <c r="P54" s="56"/>
      <c r="Q54" s="56"/>
      <c r="T54" s="56"/>
      <c r="U54" s="32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</row>
    <row r="55" spans="1:52" s="11" customFormat="1" ht="17.100000000000001" customHeight="1" thickBot="1" x14ac:dyDescent="0.45">
      <c r="A55" s="70">
        <v>20</v>
      </c>
      <c r="B55" s="73" t="s">
        <v>44</v>
      </c>
      <c r="C55" s="73"/>
      <c r="D55" s="72"/>
      <c r="E55" s="72"/>
      <c r="G55" s="70"/>
      <c r="H55" s="73" t="s">
        <v>93</v>
      </c>
      <c r="I55" s="73"/>
      <c r="J55" s="70"/>
      <c r="K55" s="70"/>
      <c r="M55" s="85" t="s">
        <v>175</v>
      </c>
      <c r="N55" s="85"/>
      <c r="O55" s="85"/>
      <c r="P55" s="85"/>
      <c r="Q55" s="85"/>
      <c r="T55" s="56"/>
      <c r="U55" s="32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</row>
    <row r="56" spans="1:52" s="11" customFormat="1" ht="17.100000000000001" customHeight="1" thickBot="1" x14ac:dyDescent="0.45">
      <c r="A56" s="70"/>
      <c r="B56" s="73" t="s">
        <v>45</v>
      </c>
      <c r="C56" s="73"/>
      <c r="D56" s="72"/>
      <c r="E56" s="72"/>
      <c r="G56" s="70"/>
      <c r="H56" s="73" t="s">
        <v>94</v>
      </c>
      <c r="I56" s="73"/>
      <c r="J56" s="70"/>
      <c r="K56" s="70"/>
      <c r="M56" s="85" t="s">
        <v>190</v>
      </c>
      <c r="N56" s="85"/>
      <c r="O56" s="85"/>
      <c r="P56" s="85"/>
      <c r="Q56" s="85"/>
      <c r="T56" s="56"/>
      <c r="U56" s="32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</row>
    <row r="57" spans="1:52" s="11" customFormat="1" ht="17.100000000000001" customHeight="1" thickBot="1" x14ac:dyDescent="0.3">
      <c r="A57" s="70"/>
      <c r="B57" s="73" t="s">
        <v>46</v>
      </c>
      <c r="C57" s="73"/>
      <c r="D57" s="72"/>
      <c r="E57" s="72"/>
      <c r="G57" s="70"/>
      <c r="H57" s="73" t="s">
        <v>95</v>
      </c>
      <c r="I57" s="73"/>
      <c r="J57" s="70"/>
      <c r="K57" s="70"/>
      <c r="M57" s="12"/>
      <c r="N57" s="15"/>
      <c r="P57" s="61"/>
      <c r="Q57" s="61"/>
      <c r="T57" s="56"/>
      <c r="U57" s="32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</row>
    <row r="58" spans="1:52" s="11" customFormat="1" ht="17.100000000000001" customHeight="1" thickBot="1" x14ac:dyDescent="0.3">
      <c r="A58" s="70">
        <v>21</v>
      </c>
      <c r="B58" s="73" t="s">
        <v>47</v>
      </c>
      <c r="C58" s="73"/>
      <c r="D58" s="72"/>
      <c r="E58" s="72"/>
      <c r="G58" s="70"/>
      <c r="H58" s="73" t="s">
        <v>96</v>
      </c>
      <c r="I58" s="73"/>
      <c r="J58" s="70"/>
      <c r="K58" s="70"/>
      <c r="M58" s="86" t="s">
        <v>174</v>
      </c>
      <c r="N58" s="86"/>
      <c r="O58" s="86"/>
      <c r="P58" s="86"/>
      <c r="Q58" s="86"/>
      <c r="T58" s="56"/>
      <c r="U58" s="32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</row>
    <row r="59" spans="1:52" s="11" customFormat="1" ht="17.100000000000001" customHeight="1" thickBot="1" x14ac:dyDescent="0.3">
      <c r="A59" s="70"/>
      <c r="B59" s="73" t="s">
        <v>48</v>
      </c>
      <c r="C59" s="73"/>
      <c r="D59" s="72"/>
      <c r="E59" s="72"/>
      <c r="G59" s="70"/>
      <c r="H59" s="73" t="s">
        <v>97</v>
      </c>
      <c r="I59" s="73"/>
      <c r="J59" s="70"/>
      <c r="K59" s="70"/>
      <c r="M59" s="86"/>
      <c r="N59" s="86"/>
      <c r="O59" s="86"/>
      <c r="P59" s="86"/>
      <c r="Q59" s="86"/>
      <c r="T59" s="56"/>
      <c r="U59" s="32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</row>
    <row r="60" spans="1:52" s="11" customFormat="1" ht="17.100000000000001" customHeight="1" thickBot="1" x14ac:dyDescent="0.3">
      <c r="A60" s="70"/>
      <c r="B60" s="73" t="s">
        <v>49</v>
      </c>
      <c r="C60" s="73"/>
      <c r="D60" s="72"/>
      <c r="E60" s="72"/>
      <c r="G60" s="70"/>
      <c r="H60" s="73" t="s">
        <v>98</v>
      </c>
      <c r="I60" s="73"/>
      <c r="J60" s="70"/>
      <c r="K60" s="70"/>
      <c r="M60" s="68"/>
      <c r="N60" s="69"/>
      <c r="O60" s="69"/>
      <c r="P60" s="68"/>
      <c r="Q60" s="68"/>
      <c r="T60" s="56"/>
      <c r="U60" s="32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</row>
    <row r="61" spans="1:52" s="11" customFormat="1" ht="17.100000000000001" customHeight="1" thickBot="1" x14ac:dyDescent="0.3">
      <c r="A61" s="70"/>
      <c r="B61" s="73" t="s">
        <v>50</v>
      </c>
      <c r="C61" s="73"/>
      <c r="D61" s="72"/>
      <c r="E61" s="72"/>
      <c r="G61" s="70"/>
      <c r="H61" s="73" t="s">
        <v>99</v>
      </c>
      <c r="I61" s="73"/>
      <c r="J61" s="70"/>
      <c r="K61" s="70"/>
      <c r="M61" s="68"/>
      <c r="N61" s="69"/>
      <c r="O61" s="69"/>
      <c r="P61" s="68"/>
      <c r="Q61" s="68"/>
      <c r="T61" s="56"/>
      <c r="U61" s="32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</row>
    <row r="62" spans="1:52" s="11" customFormat="1" ht="17.100000000000001" customHeight="1" thickBot="1" x14ac:dyDescent="0.3">
      <c r="A62" s="70"/>
      <c r="B62" s="73" t="s">
        <v>51</v>
      </c>
      <c r="C62" s="73"/>
      <c r="D62" s="72"/>
      <c r="E62" s="72"/>
      <c r="G62" s="70"/>
      <c r="H62" s="73" t="s">
        <v>100</v>
      </c>
      <c r="I62" s="73"/>
      <c r="J62" s="70"/>
      <c r="K62" s="70"/>
      <c r="M62" s="87" t="s">
        <v>177</v>
      </c>
      <c r="N62" s="87"/>
      <c r="O62" s="87"/>
      <c r="P62" s="87"/>
      <c r="Q62" s="87"/>
      <c r="T62" s="56"/>
      <c r="U62" s="32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</row>
    <row r="63" spans="1:52" ht="6" customHeight="1" x14ac:dyDescent="0.25">
      <c r="M63" s="61"/>
      <c r="N63" s="61"/>
      <c r="O63" s="61"/>
      <c r="P63" s="61"/>
      <c r="Q63" s="61"/>
    </row>
    <row r="64" spans="1:52" x14ac:dyDescent="0.25">
      <c r="B64" s="4"/>
      <c r="E64" s="18"/>
      <c r="F64" s="3"/>
      <c r="H64" s="2"/>
      <c r="M64" s="61"/>
      <c r="P64" s="61"/>
      <c r="Q64" s="61"/>
    </row>
    <row r="65" spans="2:8" x14ac:dyDescent="0.25">
      <c r="B65" s="2"/>
      <c r="H65" s="2"/>
    </row>
    <row r="66" spans="2:8" x14ac:dyDescent="0.25">
      <c r="B66" s="2"/>
      <c r="H66" s="2"/>
    </row>
  </sheetData>
  <mergeCells count="250">
    <mergeCell ref="B55:C55"/>
    <mergeCell ref="D55:D57"/>
    <mergeCell ref="E55:E57"/>
    <mergeCell ref="H55:I55"/>
    <mergeCell ref="B56:C56"/>
    <mergeCell ref="H56:I56"/>
    <mergeCell ref="H62:I62"/>
    <mergeCell ref="M62:Q62"/>
    <mergeCell ref="M55:Q55"/>
    <mergeCell ref="M56:Q56"/>
    <mergeCell ref="M58:Q58"/>
    <mergeCell ref="B59:C59"/>
    <mergeCell ref="H59:I59"/>
    <mergeCell ref="M59:Q59"/>
    <mergeCell ref="B60:C60"/>
    <mergeCell ref="H60:I60"/>
    <mergeCell ref="B57:C57"/>
    <mergeCell ref="H57:I57"/>
    <mergeCell ref="Q51:Q52"/>
    <mergeCell ref="A52:A54"/>
    <mergeCell ref="B52:C52"/>
    <mergeCell ref="D52:D54"/>
    <mergeCell ref="E52:E54"/>
    <mergeCell ref="G52:G62"/>
    <mergeCell ref="H52:I52"/>
    <mergeCell ref="J52:J62"/>
    <mergeCell ref="K52:K62"/>
    <mergeCell ref="B53:C53"/>
    <mergeCell ref="A49:A51"/>
    <mergeCell ref="Q14:Q50"/>
    <mergeCell ref="A58:A62"/>
    <mergeCell ref="B58:C58"/>
    <mergeCell ref="D58:D62"/>
    <mergeCell ref="E58:E62"/>
    <mergeCell ref="H58:I58"/>
    <mergeCell ref="B61:C61"/>
    <mergeCell ref="H61:I61"/>
    <mergeCell ref="B62:C62"/>
    <mergeCell ref="H53:I53"/>
    <mergeCell ref="B54:C54"/>
    <mergeCell ref="H54:I54"/>
    <mergeCell ref="A55:A57"/>
    <mergeCell ref="B51:C51"/>
    <mergeCell ref="H51:I51"/>
    <mergeCell ref="M51:O52"/>
    <mergeCell ref="P51:P52"/>
    <mergeCell ref="B48:C48"/>
    <mergeCell ref="H48:I48"/>
    <mergeCell ref="N48:O48"/>
    <mergeCell ref="B49:C49"/>
    <mergeCell ref="D49:D51"/>
    <mergeCell ref="E49:E51"/>
    <mergeCell ref="H49:I49"/>
    <mergeCell ref="N49:O49"/>
    <mergeCell ref="B50:C50"/>
    <mergeCell ref="P14:P50"/>
    <mergeCell ref="B15:C15"/>
    <mergeCell ref="H15:I15"/>
    <mergeCell ref="B16:C16"/>
    <mergeCell ref="H16:I16"/>
    <mergeCell ref="H46:I46"/>
    <mergeCell ref="N46:O46"/>
    <mergeCell ref="H43:I43"/>
    <mergeCell ref="J43:J51"/>
    <mergeCell ref="N39:O39"/>
    <mergeCell ref="B46:C46"/>
    <mergeCell ref="A47:A48"/>
    <mergeCell ref="B47:C47"/>
    <mergeCell ref="D47:D48"/>
    <mergeCell ref="E47:E48"/>
    <mergeCell ref="H47:I47"/>
    <mergeCell ref="N47:O47"/>
    <mergeCell ref="K43:K51"/>
    <mergeCell ref="N43:O43"/>
    <mergeCell ref="A44:A46"/>
    <mergeCell ref="B44:C44"/>
    <mergeCell ref="D44:D46"/>
    <mergeCell ref="E44:E46"/>
    <mergeCell ref="H44:I44"/>
    <mergeCell ref="N44:O44"/>
    <mergeCell ref="B45:C45"/>
    <mergeCell ref="H45:I45"/>
    <mergeCell ref="A42:A43"/>
    <mergeCell ref="B42:C42"/>
    <mergeCell ref="D42:D43"/>
    <mergeCell ref="E42:E43"/>
    <mergeCell ref="H50:I50"/>
    <mergeCell ref="N50:O50"/>
    <mergeCell ref="B43:C43"/>
    <mergeCell ref="G43:G51"/>
    <mergeCell ref="N45:O45"/>
    <mergeCell ref="N38:O38"/>
    <mergeCell ref="B39:C39"/>
    <mergeCell ref="A40:A41"/>
    <mergeCell ref="B40:C40"/>
    <mergeCell ref="D40:D41"/>
    <mergeCell ref="E40:E41"/>
    <mergeCell ref="H40:I40"/>
    <mergeCell ref="N40:O40"/>
    <mergeCell ref="B41:C41"/>
    <mergeCell ref="H41:I41"/>
    <mergeCell ref="N41:O41"/>
    <mergeCell ref="K36:K42"/>
    <mergeCell ref="N36:O36"/>
    <mergeCell ref="H39:I39"/>
    <mergeCell ref="H42:I42"/>
    <mergeCell ref="N42:O42"/>
    <mergeCell ref="A37:A39"/>
    <mergeCell ref="B37:C37"/>
    <mergeCell ref="D37:D39"/>
    <mergeCell ref="E37:E39"/>
    <mergeCell ref="H37:I37"/>
    <mergeCell ref="N37:O37"/>
    <mergeCell ref="B38:C38"/>
    <mergeCell ref="H38:I38"/>
    <mergeCell ref="N32:O32"/>
    <mergeCell ref="B33:C33"/>
    <mergeCell ref="H33:I33"/>
    <mergeCell ref="N33:O33"/>
    <mergeCell ref="B34:C34"/>
    <mergeCell ref="H34:I34"/>
    <mergeCell ref="N34:O34"/>
    <mergeCell ref="J30:J35"/>
    <mergeCell ref="K30:K35"/>
    <mergeCell ref="N30:O30"/>
    <mergeCell ref="B31:C31"/>
    <mergeCell ref="H31:I31"/>
    <mergeCell ref="N31:O31"/>
    <mergeCell ref="B32:C32"/>
    <mergeCell ref="D32:D34"/>
    <mergeCell ref="E32:E34"/>
    <mergeCell ref="H32:I32"/>
    <mergeCell ref="E35:E36"/>
    <mergeCell ref="H35:I35"/>
    <mergeCell ref="N35:O35"/>
    <mergeCell ref="B36:C36"/>
    <mergeCell ref="G36:G42"/>
    <mergeCell ref="H36:I36"/>
    <mergeCell ref="J36:J42"/>
    <mergeCell ref="A30:A31"/>
    <mergeCell ref="B30:C30"/>
    <mergeCell ref="D30:D31"/>
    <mergeCell ref="E30:E31"/>
    <mergeCell ref="G30:G35"/>
    <mergeCell ref="H30:I30"/>
    <mergeCell ref="A32:A34"/>
    <mergeCell ref="A35:A36"/>
    <mergeCell ref="B35:C35"/>
    <mergeCell ref="D35:D36"/>
    <mergeCell ref="A26:A27"/>
    <mergeCell ref="B26:C26"/>
    <mergeCell ref="D26:D27"/>
    <mergeCell ref="E26:E27"/>
    <mergeCell ref="H26:I26"/>
    <mergeCell ref="N26:O26"/>
    <mergeCell ref="B27:C27"/>
    <mergeCell ref="H27:I27"/>
    <mergeCell ref="N27:O27"/>
    <mergeCell ref="G25:G29"/>
    <mergeCell ref="H25:I25"/>
    <mergeCell ref="J25:J29"/>
    <mergeCell ref="K25:K29"/>
    <mergeCell ref="N25:O25"/>
    <mergeCell ref="A28:A29"/>
    <mergeCell ref="B28:C28"/>
    <mergeCell ref="D28:D29"/>
    <mergeCell ref="E28:E29"/>
    <mergeCell ref="H28:I28"/>
    <mergeCell ref="N28:O28"/>
    <mergeCell ref="B29:C29"/>
    <mergeCell ref="H29:I29"/>
    <mergeCell ref="N29:O29"/>
    <mergeCell ref="B21:C21"/>
    <mergeCell ref="H21:I21"/>
    <mergeCell ref="N21:O21"/>
    <mergeCell ref="A22:A23"/>
    <mergeCell ref="B22:C22"/>
    <mergeCell ref="D22:D23"/>
    <mergeCell ref="E22:E23"/>
    <mergeCell ref="G22:G24"/>
    <mergeCell ref="H22:I22"/>
    <mergeCell ref="J22:J24"/>
    <mergeCell ref="N24:O24"/>
    <mergeCell ref="K22:K24"/>
    <mergeCell ref="N22:O22"/>
    <mergeCell ref="B23:C23"/>
    <mergeCell ref="H23:I23"/>
    <mergeCell ref="N23:O23"/>
    <mergeCell ref="A24:A25"/>
    <mergeCell ref="B24:C24"/>
    <mergeCell ref="D24:D25"/>
    <mergeCell ref="E24:E25"/>
    <mergeCell ref="H24:I24"/>
    <mergeCell ref="B25:C25"/>
    <mergeCell ref="A19:A20"/>
    <mergeCell ref="B19:C19"/>
    <mergeCell ref="D19:D20"/>
    <mergeCell ref="E19:E20"/>
    <mergeCell ref="H19:I19"/>
    <mergeCell ref="N19:O19"/>
    <mergeCell ref="B20:C20"/>
    <mergeCell ref="H20:I20"/>
    <mergeCell ref="N20:O20"/>
    <mergeCell ref="A17:A18"/>
    <mergeCell ref="B17:C17"/>
    <mergeCell ref="D17:D18"/>
    <mergeCell ref="E17:E18"/>
    <mergeCell ref="H17:I17"/>
    <mergeCell ref="N17:O17"/>
    <mergeCell ref="B18:C18"/>
    <mergeCell ref="G18:G21"/>
    <mergeCell ref="H18:I18"/>
    <mergeCell ref="J18:J21"/>
    <mergeCell ref="J14:J17"/>
    <mergeCell ref="K14:K17"/>
    <mergeCell ref="M14:M50"/>
    <mergeCell ref="N14:O14"/>
    <mergeCell ref="N15:O15"/>
    <mergeCell ref="N16:O16"/>
    <mergeCell ref="K18:K21"/>
    <mergeCell ref="N18:O18"/>
    <mergeCell ref="A14:A15"/>
    <mergeCell ref="B14:C14"/>
    <mergeCell ref="D14:D15"/>
    <mergeCell ref="E14:E15"/>
    <mergeCell ref="G14:G17"/>
    <mergeCell ref="H14:I14"/>
    <mergeCell ref="U11:U12"/>
    <mergeCell ref="V11:AY11"/>
    <mergeCell ref="AZ11:AZ12"/>
    <mergeCell ref="A8:B8"/>
    <mergeCell ref="M8:N8"/>
    <mergeCell ref="A9:B9"/>
    <mergeCell ref="M9:N9"/>
    <mergeCell ref="A11:A12"/>
    <mergeCell ref="B11:C12"/>
    <mergeCell ref="D11:E11"/>
    <mergeCell ref="G11:G12"/>
    <mergeCell ref="H11:I12"/>
    <mergeCell ref="J11:K11"/>
    <mergeCell ref="A1:Q1"/>
    <mergeCell ref="A2:Q2"/>
    <mergeCell ref="A3:Q3"/>
    <mergeCell ref="A4:Q4"/>
    <mergeCell ref="A6:Q6"/>
    <mergeCell ref="A7:B7"/>
    <mergeCell ref="M7:N7"/>
    <mergeCell ref="M11:M12"/>
    <mergeCell ref="N11:O12"/>
    <mergeCell ref="P11:Q11"/>
  </mergeCells>
  <pageMargins left="0.35" right="0.25" top="0.31" bottom="0.74803149606299213" header="0.31496062992125984" footer="0.31496062992125984"/>
  <pageSetup paperSize="5" scale="85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6"/>
  <sheetViews>
    <sheetView topLeftCell="A38" zoomScaleNormal="100" workbookViewId="0">
      <selection activeCell="R56" sqref="R56"/>
    </sheetView>
  </sheetViews>
  <sheetFormatPr defaultRowHeight="15" x14ac:dyDescent="0.25"/>
  <cols>
    <col min="1" max="1" width="4.7109375" style="56" customWidth="1"/>
    <col min="2" max="2" width="18.7109375" customWidth="1"/>
    <col min="3" max="3" width="4.7109375" customWidth="1"/>
    <col min="4" max="5" width="4.7109375" style="56" customWidth="1"/>
    <col min="6" max="6" width="2.28515625" customWidth="1"/>
    <col min="7" max="7" width="4.7109375" style="56" customWidth="1"/>
    <col min="8" max="8" width="18.7109375" customWidth="1"/>
    <col min="9" max="9" width="4.7109375" customWidth="1"/>
    <col min="10" max="11" width="4.7109375" style="56" customWidth="1"/>
    <col min="12" max="12" width="2.28515625" customWidth="1"/>
    <col min="13" max="13" width="4.7109375" style="56" customWidth="1"/>
    <col min="14" max="15" width="10.7109375" customWidth="1"/>
    <col min="16" max="17" width="4.7109375" style="56" customWidth="1"/>
    <col min="20" max="20" width="4.42578125" style="5" customWidth="1"/>
    <col min="21" max="21" width="12.28515625" style="31" customWidth="1"/>
    <col min="22" max="39" width="4.7109375" style="56" customWidth="1"/>
    <col min="40" max="51" width="4.7109375" style="5" customWidth="1"/>
    <col min="52" max="52" width="9.140625" style="5"/>
  </cols>
  <sheetData>
    <row r="1" spans="1:52" ht="25.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52" ht="21" customHeight="1" x14ac:dyDescent="0.25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52" ht="18" customHeight="1" x14ac:dyDescent="0.25">
      <c r="A3" s="77" t="s">
        <v>158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52" ht="15" customHeight="1" x14ac:dyDescent="0.25">
      <c r="A4" s="78" t="s">
        <v>159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52" ht="24.75" customHeight="1" x14ac:dyDescent="0.25"/>
    <row r="6" spans="1:52" ht="20.100000000000001" customHeight="1" x14ac:dyDescent="0.3">
      <c r="A6" s="79" t="s">
        <v>138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</row>
    <row r="7" spans="1:52" ht="15" customHeight="1" x14ac:dyDescent="0.25">
      <c r="A7" s="91" t="s">
        <v>154</v>
      </c>
      <c r="B7" s="91"/>
      <c r="C7" s="9" t="s">
        <v>180</v>
      </c>
      <c r="D7" s="51"/>
      <c r="E7" s="51"/>
      <c r="F7" s="56"/>
      <c r="J7" s="51"/>
      <c r="M7" s="92" t="s">
        <v>139</v>
      </c>
      <c r="N7" s="92"/>
      <c r="O7" s="10" t="s">
        <v>155</v>
      </c>
    </row>
    <row r="8" spans="1:52" ht="15" customHeight="1" x14ac:dyDescent="0.25">
      <c r="A8" s="91" t="s">
        <v>140</v>
      </c>
      <c r="B8" s="91"/>
      <c r="C8" s="9">
        <v>2101105</v>
      </c>
      <c r="D8" s="51"/>
      <c r="E8" s="51"/>
      <c r="F8" s="56"/>
      <c r="J8" s="51"/>
      <c r="M8" s="92" t="s">
        <v>141</v>
      </c>
      <c r="N8" s="92"/>
      <c r="O8" s="10" t="s">
        <v>176</v>
      </c>
    </row>
    <row r="9" spans="1:52" ht="15" customHeight="1" x14ac:dyDescent="0.25">
      <c r="A9" s="91" t="s">
        <v>173</v>
      </c>
      <c r="B9" s="91"/>
      <c r="C9" s="38" t="s">
        <v>160</v>
      </c>
      <c r="D9" s="51"/>
      <c r="E9" s="51"/>
      <c r="F9" s="56"/>
      <c r="I9" s="8"/>
      <c r="J9" s="51"/>
      <c r="K9" s="6"/>
      <c r="L9" s="8"/>
      <c r="M9" s="92" t="s">
        <v>142</v>
      </c>
      <c r="N9" s="92"/>
      <c r="O9" s="10" t="s">
        <v>156</v>
      </c>
      <c r="P9" s="6"/>
      <c r="Q9" s="6"/>
    </row>
    <row r="10" spans="1:52" ht="4.5" customHeight="1" thickBot="1" x14ac:dyDescent="0.3"/>
    <row r="11" spans="1:52" ht="16.5" thickTop="1" thickBot="1" x14ac:dyDescent="0.3">
      <c r="A11" s="81" t="s">
        <v>0</v>
      </c>
      <c r="B11" s="81" t="s">
        <v>1</v>
      </c>
      <c r="C11" s="81"/>
      <c r="D11" s="81" t="s">
        <v>2</v>
      </c>
      <c r="E11" s="81"/>
      <c r="F11" s="19"/>
      <c r="G11" s="81" t="s">
        <v>0</v>
      </c>
      <c r="H11" s="81" t="s">
        <v>1</v>
      </c>
      <c r="I11" s="81"/>
      <c r="J11" s="81" t="s">
        <v>2</v>
      </c>
      <c r="K11" s="81"/>
      <c r="L11" s="19"/>
      <c r="M11" s="81" t="s">
        <v>0</v>
      </c>
      <c r="N11" s="81" t="s">
        <v>1</v>
      </c>
      <c r="O11" s="81"/>
      <c r="P11" s="81" t="s">
        <v>2</v>
      </c>
      <c r="Q11" s="81"/>
      <c r="U11" s="89"/>
      <c r="V11" s="88" t="s">
        <v>153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 t="s">
        <v>146</v>
      </c>
    </row>
    <row r="12" spans="1:52" ht="12" customHeight="1" thickTop="1" thickBot="1" x14ac:dyDescent="0.3">
      <c r="A12" s="81"/>
      <c r="B12" s="81"/>
      <c r="C12" s="81"/>
      <c r="D12" s="53" t="s">
        <v>143</v>
      </c>
      <c r="E12" s="53" t="s">
        <v>144</v>
      </c>
      <c r="F12" s="19"/>
      <c r="G12" s="81"/>
      <c r="H12" s="81"/>
      <c r="I12" s="81"/>
      <c r="J12" s="53" t="s">
        <v>143</v>
      </c>
      <c r="K12" s="53" t="s">
        <v>144</v>
      </c>
      <c r="L12" s="19"/>
      <c r="M12" s="81"/>
      <c r="N12" s="81"/>
      <c r="O12" s="81"/>
      <c r="P12" s="53" t="s">
        <v>143</v>
      </c>
      <c r="Q12" s="53" t="s">
        <v>144</v>
      </c>
      <c r="U12" s="90"/>
      <c r="V12" s="52">
        <v>1</v>
      </c>
      <c r="W12" s="52">
        <v>2</v>
      </c>
      <c r="X12" s="52">
        <v>3</v>
      </c>
      <c r="Y12" s="52">
        <v>4</v>
      </c>
      <c r="Z12" s="52">
        <v>5</v>
      </c>
      <c r="AA12" s="52">
        <v>6</v>
      </c>
      <c r="AB12" s="52">
        <v>7</v>
      </c>
      <c r="AC12" s="52">
        <v>8</v>
      </c>
      <c r="AD12" s="52">
        <v>9</v>
      </c>
      <c r="AE12" s="52">
        <v>10</v>
      </c>
      <c r="AF12" s="52">
        <v>11</v>
      </c>
      <c r="AG12" s="52">
        <v>12</v>
      </c>
      <c r="AH12" s="52">
        <v>13</v>
      </c>
      <c r="AI12" s="52">
        <v>14</v>
      </c>
      <c r="AJ12" s="52">
        <v>15</v>
      </c>
      <c r="AK12" s="52">
        <v>16</v>
      </c>
      <c r="AL12" s="52">
        <v>17</v>
      </c>
      <c r="AM12" s="52">
        <v>18</v>
      </c>
      <c r="AN12" s="52">
        <v>19</v>
      </c>
      <c r="AO12" s="52">
        <v>20</v>
      </c>
      <c r="AP12" s="52">
        <v>21</v>
      </c>
      <c r="AQ12" s="52">
        <v>22</v>
      </c>
      <c r="AR12" s="52">
        <v>23</v>
      </c>
      <c r="AS12" s="52">
        <v>24</v>
      </c>
      <c r="AT12" s="52">
        <v>25</v>
      </c>
      <c r="AU12" s="52">
        <v>26</v>
      </c>
      <c r="AV12" s="52">
        <v>27</v>
      </c>
      <c r="AW12" s="52">
        <v>28</v>
      </c>
      <c r="AX12" s="52">
        <v>29</v>
      </c>
      <c r="AY12" s="52">
        <v>30</v>
      </c>
      <c r="AZ12" s="88"/>
    </row>
    <row r="13" spans="1:52" ht="3.75" customHeight="1" thickTop="1" thickBot="1" x14ac:dyDescent="0.3"/>
    <row r="14" spans="1:52" s="11" customFormat="1" ht="17.100000000000001" customHeight="1" thickBot="1" x14ac:dyDescent="0.3">
      <c r="A14" s="70">
        <v>1</v>
      </c>
      <c r="B14" s="73" t="s">
        <v>3</v>
      </c>
      <c r="C14" s="73"/>
      <c r="D14" s="72"/>
      <c r="E14" s="72"/>
      <c r="G14" s="70">
        <v>22</v>
      </c>
      <c r="H14" s="73" t="s">
        <v>52</v>
      </c>
      <c r="I14" s="73"/>
      <c r="J14" s="72"/>
      <c r="K14" s="72"/>
      <c r="M14" s="70">
        <v>30</v>
      </c>
      <c r="N14" s="73" t="s">
        <v>101</v>
      </c>
      <c r="O14" s="73"/>
      <c r="P14" s="70">
        <v>90</v>
      </c>
      <c r="Q14" s="70">
        <v>70</v>
      </c>
      <c r="T14" s="56"/>
      <c r="U14" s="34" t="s">
        <v>151</v>
      </c>
      <c r="V14" s="52">
        <f>D14</f>
        <v>0</v>
      </c>
      <c r="W14" s="52">
        <f>D16</f>
        <v>0</v>
      </c>
      <c r="X14" s="52">
        <f>D17</f>
        <v>0</v>
      </c>
      <c r="Y14" s="52">
        <f>D19</f>
        <v>0</v>
      </c>
      <c r="Z14" s="52">
        <f>D21</f>
        <v>0</v>
      </c>
      <c r="AA14" s="52">
        <f>D22</f>
        <v>0</v>
      </c>
      <c r="AB14" s="52">
        <f>D24</f>
        <v>0</v>
      </c>
      <c r="AC14" s="52">
        <f>D26</f>
        <v>0</v>
      </c>
      <c r="AD14" s="52">
        <f>D28</f>
        <v>0</v>
      </c>
      <c r="AE14" s="52">
        <f>D30</f>
        <v>0</v>
      </c>
      <c r="AF14" s="52">
        <f>D32</f>
        <v>0</v>
      </c>
      <c r="AG14" s="52">
        <f>D35</f>
        <v>0</v>
      </c>
      <c r="AH14" s="52">
        <f>D37</f>
        <v>0</v>
      </c>
      <c r="AI14" s="52">
        <f>D40</f>
        <v>0</v>
      </c>
      <c r="AJ14" s="52">
        <f>D42</f>
        <v>0</v>
      </c>
      <c r="AK14" s="52">
        <f>D44</f>
        <v>0</v>
      </c>
      <c r="AL14" s="52">
        <f>D47</f>
        <v>0</v>
      </c>
      <c r="AM14" s="52">
        <f>D49</f>
        <v>0</v>
      </c>
      <c r="AN14" s="52">
        <f>D52</f>
        <v>0</v>
      </c>
      <c r="AO14" s="52">
        <f>D55</f>
        <v>0</v>
      </c>
      <c r="AP14" s="52">
        <f>D58</f>
        <v>0</v>
      </c>
      <c r="AQ14" s="52">
        <f>J14</f>
        <v>0</v>
      </c>
      <c r="AR14" s="52">
        <f>J18</f>
        <v>0</v>
      </c>
      <c r="AS14" s="52">
        <f>J22</f>
        <v>60</v>
      </c>
      <c r="AT14" s="52">
        <f>J25</f>
        <v>65</v>
      </c>
      <c r="AU14" s="52">
        <f>J30</f>
        <v>82</v>
      </c>
      <c r="AV14" s="52">
        <f>J36</f>
        <v>76</v>
      </c>
      <c r="AW14" s="52">
        <f>J43</f>
        <v>72</v>
      </c>
      <c r="AX14" s="52">
        <f>J52</f>
        <v>88</v>
      </c>
      <c r="AY14" s="52">
        <f>P14</f>
        <v>90</v>
      </c>
      <c r="AZ14" s="35">
        <f>AVERAGEIF(V14:AY14,"&gt;0")</f>
        <v>76.142857142857139</v>
      </c>
    </row>
    <row r="15" spans="1:52" s="11" customFormat="1" ht="17.100000000000001" customHeight="1" thickBot="1" x14ac:dyDescent="0.3">
      <c r="A15" s="70"/>
      <c r="B15" s="73" t="s">
        <v>4</v>
      </c>
      <c r="C15" s="73"/>
      <c r="D15" s="72"/>
      <c r="E15" s="72"/>
      <c r="G15" s="70"/>
      <c r="H15" s="73" t="s">
        <v>53</v>
      </c>
      <c r="I15" s="73"/>
      <c r="J15" s="72"/>
      <c r="K15" s="72"/>
      <c r="M15" s="70"/>
      <c r="N15" s="73" t="s">
        <v>102</v>
      </c>
      <c r="O15" s="73"/>
      <c r="P15" s="70"/>
      <c r="Q15" s="70"/>
      <c r="T15" s="56"/>
      <c r="U15" s="34" t="s">
        <v>152</v>
      </c>
      <c r="V15" s="52">
        <f>E14</f>
        <v>0</v>
      </c>
      <c r="W15" s="52">
        <f>E16</f>
        <v>0</v>
      </c>
      <c r="X15" s="52">
        <f>E17</f>
        <v>0</v>
      </c>
      <c r="Y15" s="52">
        <f>E19</f>
        <v>0</v>
      </c>
      <c r="Z15" s="52">
        <f>E21</f>
        <v>0</v>
      </c>
      <c r="AA15" s="52">
        <f>E22</f>
        <v>0</v>
      </c>
      <c r="AB15" s="52">
        <f>E24</f>
        <v>0</v>
      </c>
      <c r="AC15" s="52">
        <f>E26</f>
        <v>0</v>
      </c>
      <c r="AD15" s="52">
        <f>E28</f>
        <v>0</v>
      </c>
      <c r="AE15" s="52">
        <f>E30</f>
        <v>0</v>
      </c>
      <c r="AF15" s="52">
        <f>E32</f>
        <v>0</v>
      </c>
      <c r="AG15" s="52">
        <f>E35</f>
        <v>0</v>
      </c>
      <c r="AH15" s="52">
        <f>E37</f>
        <v>0</v>
      </c>
      <c r="AI15" s="52">
        <f>E40</f>
        <v>0</v>
      </c>
      <c r="AJ15" s="52">
        <f>E42</f>
        <v>0</v>
      </c>
      <c r="AK15" s="52">
        <f>E44</f>
        <v>0</v>
      </c>
      <c r="AL15" s="52">
        <f>E47</f>
        <v>0</v>
      </c>
      <c r="AM15" s="52">
        <f>E49</f>
        <v>0</v>
      </c>
      <c r="AN15" s="52">
        <f>E52</f>
        <v>0</v>
      </c>
      <c r="AO15" s="52">
        <f>E55</f>
        <v>0</v>
      </c>
      <c r="AP15" s="52">
        <f>E58</f>
        <v>0</v>
      </c>
      <c r="AQ15" s="52">
        <f>K14</f>
        <v>0</v>
      </c>
      <c r="AR15" s="52">
        <f>K18</f>
        <v>0</v>
      </c>
      <c r="AS15" s="52">
        <f>K22</f>
        <v>70</v>
      </c>
      <c r="AT15" s="52">
        <f>K25</f>
        <v>70</v>
      </c>
      <c r="AU15" s="52">
        <f>K30</f>
        <v>70</v>
      </c>
      <c r="AV15" s="52">
        <f>K36</f>
        <v>70</v>
      </c>
      <c r="AW15" s="52">
        <f>K43</f>
        <v>70</v>
      </c>
      <c r="AX15" s="52">
        <f>K52</f>
        <v>70</v>
      </c>
      <c r="AY15" s="52">
        <f>Q14</f>
        <v>70</v>
      </c>
      <c r="AZ15" s="35">
        <f>AVERAGEIF(V15:AY15,"&gt;0")</f>
        <v>70</v>
      </c>
    </row>
    <row r="16" spans="1:52" s="11" customFormat="1" ht="17.100000000000001" customHeight="1" thickBot="1" x14ac:dyDescent="0.3">
      <c r="A16" s="55">
        <v>2</v>
      </c>
      <c r="B16" s="73" t="s">
        <v>6</v>
      </c>
      <c r="C16" s="73"/>
      <c r="D16" s="54"/>
      <c r="E16" s="54"/>
      <c r="G16" s="70"/>
      <c r="H16" s="73" t="s">
        <v>54</v>
      </c>
      <c r="I16" s="73"/>
      <c r="J16" s="72"/>
      <c r="K16" s="72"/>
      <c r="M16" s="70"/>
      <c r="N16" s="73" t="s">
        <v>103</v>
      </c>
      <c r="O16" s="73"/>
      <c r="P16" s="70"/>
      <c r="Q16" s="70"/>
      <c r="T16" s="56"/>
      <c r="U16" s="32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s="11" customFormat="1" ht="17.100000000000001" customHeight="1" thickBot="1" x14ac:dyDescent="0.3">
      <c r="A17" s="70">
        <v>3</v>
      </c>
      <c r="B17" s="73" t="s">
        <v>5</v>
      </c>
      <c r="C17" s="73"/>
      <c r="D17" s="72"/>
      <c r="E17" s="72"/>
      <c r="G17" s="70"/>
      <c r="H17" s="73" t="s">
        <v>55</v>
      </c>
      <c r="I17" s="73"/>
      <c r="J17" s="72"/>
      <c r="K17" s="72"/>
      <c r="M17" s="70"/>
      <c r="N17" s="73" t="s">
        <v>104</v>
      </c>
      <c r="O17" s="73"/>
      <c r="P17" s="70"/>
      <c r="Q17" s="70"/>
      <c r="T17" s="56"/>
      <c r="U17" s="32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</row>
    <row r="18" spans="1:52" s="11" customFormat="1" ht="17.100000000000001" customHeight="1" thickBot="1" x14ac:dyDescent="0.3">
      <c r="A18" s="70"/>
      <c r="B18" s="73" t="s">
        <v>7</v>
      </c>
      <c r="C18" s="73"/>
      <c r="D18" s="72"/>
      <c r="E18" s="72"/>
      <c r="G18" s="70">
        <v>23</v>
      </c>
      <c r="H18" s="73" t="s">
        <v>56</v>
      </c>
      <c r="I18" s="73"/>
      <c r="J18" s="70"/>
      <c r="K18" s="70"/>
      <c r="M18" s="70"/>
      <c r="N18" s="73" t="s">
        <v>105</v>
      </c>
      <c r="O18" s="73"/>
      <c r="P18" s="70"/>
      <c r="Q18" s="70"/>
      <c r="T18" s="56"/>
      <c r="U18" s="32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</row>
    <row r="19" spans="1:52" s="11" customFormat="1" ht="17.100000000000001" customHeight="1" thickBot="1" x14ac:dyDescent="0.3">
      <c r="A19" s="70">
        <v>4</v>
      </c>
      <c r="B19" s="73" t="s">
        <v>8</v>
      </c>
      <c r="C19" s="73"/>
      <c r="D19" s="72"/>
      <c r="E19" s="70"/>
      <c r="G19" s="70"/>
      <c r="H19" s="73" t="s">
        <v>57</v>
      </c>
      <c r="I19" s="73"/>
      <c r="J19" s="70"/>
      <c r="K19" s="70"/>
      <c r="M19" s="70"/>
      <c r="N19" s="73" t="s">
        <v>106</v>
      </c>
      <c r="O19" s="73"/>
      <c r="P19" s="70"/>
      <c r="Q19" s="70"/>
      <c r="T19" s="56"/>
      <c r="U19" s="32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</row>
    <row r="20" spans="1:52" s="11" customFormat="1" ht="17.100000000000001" customHeight="1" thickBot="1" x14ac:dyDescent="0.3">
      <c r="A20" s="70"/>
      <c r="B20" s="73" t="s">
        <v>9</v>
      </c>
      <c r="C20" s="73"/>
      <c r="D20" s="72"/>
      <c r="E20" s="70"/>
      <c r="G20" s="70"/>
      <c r="H20" s="73" t="s">
        <v>58</v>
      </c>
      <c r="I20" s="73"/>
      <c r="J20" s="70"/>
      <c r="K20" s="70"/>
      <c r="M20" s="70"/>
      <c r="N20" s="73" t="s">
        <v>107</v>
      </c>
      <c r="O20" s="73"/>
      <c r="P20" s="70"/>
      <c r="Q20" s="70"/>
      <c r="T20" s="56"/>
      <c r="U20" s="32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</row>
    <row r="21" spans="1:52" s="11" customFormat="1" ht="17.100000000000001" customHeight="1" thickBot="1" x14ac:dyDescent="0.3">
      <c r="A21" s="55">
        <v>5</v>
      </c>
      <c r="B21" s="73" t="s">
        <v>10</v>
      </c>
      <c r="C21" s="73"/>
      <c r="D21" s="54"/>
      <c r="E21" s="54"/>
      <c r="G21" s="70"/>
      <c r="H21" s="73" t="s">
        <v>59</v>
      </c>
      <c r="I21" s="73"/>
      <c r="J21" s="70"/>
      <c r="K21" s="70"/>
      <c r="M21" s="70"/>
      <c r="N21" s="73" t="s">
        <v>108</v>
      </c>
      <c r="O21" s="73"/>
      <c r="P21" s="70"/>
      <c r="Q21" s="70"/>
      <c r="T21" s="56"/>
      <c r="U21" s="32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</row>
    <row r="22" spans="1:52" s="11" customFormat="1" ht="17.100000000000001" customHeight="1" thickBot="1" x14ac:dyDescent="0.3">
      <c r="A22" s="70">
        <v>6</v>
      </c>
      <c r="B22" s="73" t="s">
        <v>11</v>
      </c>
      <c r="C22" s="73"/>
      <c r="D22" s="72"/>
      <c r="E22" s="70"/>
      <c r="G22" s="70">
        <v>24</v>
      </c>
      <c r="H22" s="73" t="s">
        <v>60</v>
      </c>
      <c r="I22" s="73"/>
      <c r="J22" s="70">
        <v>60</v>
      </c>
      <c r="K22" s="70">
        <v>70</v>
      </c>
      <c r="M22" s="70"/>
      <c r="N22" s="73" t="s">
        <v>109</v>
      </c>
      <c r="O22" s="73"/>
      <c r="P22" s="70"/>
      <c r="Q22" s="70"/>
      <c r="T22" s="56"/>
      <c r="U22" s="32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</row>
    <row r="23" spans="1:52" s="11" customFormat="1" ht="17.100000000000001" customHeight="1" thickBot="1" x14ac:dyDescent="0.3">
      <c r="A23" s="70"/>
      <c r="B23" s="73" t="s">
        <v>12</v>
      </c>
      <c r="C23" s="73"/>
      <c r="D23" s="72"/>
      <c r="E23" s="70"/>
      <c r="G23" s="70"/>
      <c r="H23" s="73" t="s">
        <v>61</v>
      </c>
      <c r="I23" s="73"/>
      <c r="J23" s="70"/>
      <c r="K23" s="70"/>
      <c r="M23" s="70"/>
      <c r="N23" s="73" t="s">
        <v>110</v>
      </c>
      <c r="O23" s="73"/>
      <c r="P23" s="70"/>
      <c r="Q23" s="70"/>
      <c r="T23" s="56"/>
      <c r="U23" s="32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</row>
    <row r="24" spans="1:52" s="11" customFormat="1" ht="17.100000000000001" customHeight="1" thickBot="1" x14ac:dyDescent="0.3">
      <c r="A24" s="70">
        <v>7</v>
      </c>
      <c r="B24" s="73" t="s">
        <v>13</v>
      </c>
      <c r="C24" s="73"/>
      <c r="D24" s="70"/>
      <c r="E24" s="70"/>
      <c r="G24" s="70"/>
      <c r="H24" s="73" t="s">
        <v>62</v>
      </c>
      <c r="I24" s="73"/>
      <c r="J24" s="70"/>
      <c r="K24" s="70"/>
      <c r="M24" s="70"/>
      <c r="N24" s="73" t="s">
        <v>111</v>
      </c>
      <c r="O24" s="73"/>
      <c r="P24" s="70"/>
      <c r="Q24" s="70"/>
      <c r="T24" s="56"/>
      <c r="U24" s="32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</row>
    <row r="25" spans="1:52" s="11" customFormat="1" ht="17.100000000000001" customHeight="1" thickBot="1" x14ac:dyDescent="0.3">
      <c r="A25" s="70"/>
      <c r="B25" s="73" t="s">
        <v>14</v>
      </c>
      <c r="C25" s="73"/>
      <c r="D25" s="70"/>
      <c r="E25" s="70"/>
      <c r="G25" s="70">
        <v>25</v>
      </c>
      <c r="H25" s="73" t="s">
        <v>63</v>
      </c>
      <c r="I25" s="73"/>
      <c r="J25" s="70">
        <v>65</v>
      </c>
      <c r="K25" s="70">
        <v>70</v>
      </c>
      <c r="M25" s="70"/>
      <c r="N25" s="73" t="s">
        <v>112</v>
      </c>
      <c r="O25" s="73"/>
      <c r="P25" s="70"/>
      <c r="Q25" s="70"/>
      <c r="T25" s="56"/>
      <c r="U25" s="32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</row>
    <row r="26" spans="1:52" s="11" customFormat="1" ht="17.100000000000001" customHeight="1" thickBot="1" x14ac:dyDescent="0.3">
      <c r="A26" s="70">
        <v>8</v>
      </c>
      <c r="B26" s="73" t="s">
        <v>15</v>
      </c>
      <c r="C26" s="73"/>
      <c r="D26" s="70"/>
      <c r="E26" s="70"/>
      <c r="G26" s="70"/>
      <c r="H26" s="73" t="s">
        <v>64</v>
      </c>
      <c r="I26" s="73"/>
      <c r="J26" s="70"/>
      <c r="K26" s="70"/>
      <c r="M26" s="70"/>
      <c r="N26" s="73" t="s">
        <v>113</v>
      </c>
      <c r="O26" s="73"/>
      <c r="P26" s="70"/>
      <c r="Q26" s="70"/>
      <c r="T26" s="56"/>
      <c r="U26" s="32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</row>
    <row r="27" spans="1:52" s="11" customFormat="1" ht="17.100000000000001" customHeight="1" thickBot="1" x14ac:dyDescent="0.3">
      <c r="A27" s="70"/>
      <c r="B27" s="73" t="s">
        <v>16</v>
      </c>
      <c r="C27" s="73"/>
      <c r="D27" s="70"/>
      <c r="E27" s="70"/>
      <c r="G27" s="70"/>
      <c r="H27" s="93" t="s">
        <v>65</v>
      </c>
      <c r="I27" s="93"/>
      <c r="J27" s="70"/>
      <c r="K27" s="70"/>
      <c r="M27" s="70"/>
      <c r="N27" s="73" t="s">
        <v>114</v>
      </c>
      <c r="O27" s="73"/>
      <c r="P27" s="70"/>
      <c r="Q27" s="70"/>
      <c r="T27" s="56"/>
      <c r="U27" s="32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</row>
    <row r="28" spans="1:52" s="11" customFormat="1" ht="17.100000000000001" customHeight="1" thickBot="1" x14ac:dyDescent="0.3">
      <c r="A28" s="70">
        <v>9</v>
      </c>
      <c r="B28" s="73" t="s">
        <v>17</v>
      </c>
      <c r="C28" s="73"/>
      <c r="D28" s="70"/>
      <c r="E28" s="70"/>
      <c r="G28" s="70"/>
      <c r="H28" s="93" t="s">
        <v>66</v>
      </c>
      <c r="I28" s="93"/>
      <c r="J28" s="70"/>
      <c r="K28" s="70"/>
      <c r="M28" s="70"/>
      <c r="N28" s="73" t="s">
        <v>115</v>
      </c>
      <c r="O28" s="73"/>
      <c r="P28" s="70"/>
      <c r="Q28" s="70"/>
      <c r="T28" s="56"/>
      <c r="U28" s="32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</row>
    <row r="29" spans="1:52" s="11" customFormat="1" ht="17.100000000000001" customHeight="1" thickBot="1" x14ac:dyDescent="0.3">
      <c r="A29" s="70"/>
      <c r="B29" s="73" t="s">
        <v>18</v>
      </c>
      <c r="C29" s="73"/>
      <c r="D29" s="70"/>
      <c r="E29" s="70"/>
      <c r="G29" s="70"/>
      <c r="H29" s="73" t="s">
        <v>67</v>
      </c>
      <c r="I29" s="73"/>
      <c r="J29" s="70"/>
      <c r="K29" s="70"/>
      <c r="M29" s="70"/>
      <c r="N29" s="73" t="s">
        <v>116</v>
      </c>
      <c r="O29" s="73"/>
      <c r="P29" s="70"/>
      <c r="Q29" s="70"/>
      <c r="T29" s="56"/>
      <c r="U29" s="32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</row>
    <row r="30" spans="1:52" s="11" customFormat="1" ht="17.100000000000001" customHeight="1" thickBot="1" x14ac:dyDescent="0.3">
      <c r="A30" s="70">
        <v>10</v>
      </c>
      <c r="B30" s="73" t="s">
        <v>19</v>
      </c>
      <c r="C30" s="73"/>
      <c r="D30" s="70"/>
      <c r="E30" s="70"/>
      <c r="G30" s="70">
        <v>26</v>
      </c>
      <c r="H30" s="73" t="s">
        <v>68</v>
      </c>
      <c r="I30" s="73"/>
      <c r="J30" s="70">
        <v>82</v>
      </c>
      <c r="K30" s="70">
        <v>70</v>
      </c>
      <c r="M30" s="70"/>
      <c r="N30" s="73" t="s">
        <v>117</v>
      </c>
      <c r="O30" s="73"/>
      <c r="P30" s="70"/>
      <c r="Q30" s="70"/>
      <c r="T30" s="56"/>
      <c r="U30" s="32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52" s="11" customFormat="1" ht="17.100000000000001" customHeight="1" thickBot="1" x14ac:dyDescent="0.3">
      <c r="A31" s="70"/>
      <c r="B31" s="73" t="s">
        <v>20</v>
      </c>
      <c r="C31" s="73"/>
      <c r="D31" s="70"/>
      <c r="E31" s="70"/>
      <c r="G31" s="70"/>
      <c r="H31" s="73" t="s">
        <v>69</v>
      </c>
      <c r="I31" s="73"/>
      <c r="J31" s="70"/>
      <c r="K31" s="70"/>
      <c r="M31" s="70"/>
      <c r="N31" s="73" t="s">
        <v>118</v>
      </c>
      <c r="O31" s="73"/>
      <c r="P31" s="70"/>
      <c r="Q31" s="70"/>
      <c r="T31" s="56"/>
      <c r="U31" s="32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52" s="11" customFormat="1" ht="17.100000000000001" customHeight="1" thickBot="1" x14ac:dyDescent="0.3">
      <c r="A32" s="70">
        <v>11</v>
      </c>
      <c r="B32" s="73" t="s">
        <v>21</v>
      </c>
      <c r="C32" s="73"/>
      <c r="D32" s="72"/>
      <c r="E32" s="72"/>
      <c r="G32" s="70"/>
      <c r="H32" s="73" t="s">
        <v>70</v>
      </c>
      <c r="I32" s="73"/>
      <c r="J32" s="70"/>
      <c r="K32" s="70"/>
      <c r="M32" s="70"/>
      <c r="N32" s="73" t="s">
        <v>119</v>
      </c>
      <c r="O32" s="73"/>
      <c r="P32" s="70"/>
      <c r="Q32" s="70"/>
      <c r="T32" s="56"/>
      <c r="U32" s="32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 spans="1:52" s="11" customFormat="1" ht="17.100000000000001" customHeight="1" thickBot="1" x14ac:dyDescent="0.3">
      <c r="A33" s="70"/>
      <c r="B33" s="73" t="s">
        <v>22</v>
      </c>
      <c r="C33" s="73"/>
      <c r="D33" s="72"/>
      <c r="E33" s="72"/>
      <c r="G33" s="70"/>
      <c r="H33" s="73" t="s">
        <v>71</v>
      </c>
      <c r="I33" s="73"/>
      <c r="J33" s="70"/>
      <c r="K33" s="70"/>
      <c r="M33" s="70"/>
      <c r="N33" s="73" t="s">
        <v>120</v>
      </c>
      <c r="O33" s="73"/>
      <c r="P33" s="70"/>
      <c r="Q33" s="70"/>
      <c r="T33" s="56"/>
      <c r="U33" s="32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 spans="1:52" s="11" customFormat="1" ht="17.100000000000001" customHeight="1" thickBot="1" x14ac:dyDescent="0.3">
      <c r="A34" s="70"/>
      <c r="B34" s="73" t="s">
        <v>23</v>
      </c>
      <c r="C34" s="73"/>
      <c r="D34" s="72"/>
      <c r="E34" s="72"/>
      <c r="G34" s="70"/>
      <c r="H34" s="73" t="s">
        <v>72</v>
      </c>
      <c r="I34" s="73"/>
      <c r="J34" s="70"/>
      <c r="K34" s="70"/>
      <c r="M34" s="70"/>
      <c r="N34" s="73" t="s">
        <v>121</v>
      </c>
      <c r="O34" s="73"/>
      <c r="P34" s="70"/>
      <c r="Q34" s="70"/>
      <c r="T34" s="56"/>
      <c r="U34" s="32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</row>
    <row r="35" spans="1:52" s="11" customFormat="1" ht="17.100000000000001" customHeight="1" thickBot="1" x14ac:dyDescent="0.3">
      <c r="A35" s="70">
        <v>12</v>
      </c>
      <c r="B35" s="73" t="s">
        <v>24</v>
      </c>
      <c r="C35" s="73"/>
      <c r="D35" s="70"/>
      <c r="E35" s="70"/>
      <c r="G35" s="70"/>
      <c r="H35" s="73" t="s">
        <v>73</v>
      </c>
      <c r="I35" s="73"/>
      <c r="J35" s="70"/>
      <c r="K35" s="70"/>
      <c r="M35" s="70"/>
      <c r="N35" s="73" t="s">
        <v>122</v>
      </c>
      <c r="O35" s="73"/>
      <c r="P35" s="70"/>
      <c r="Q35" s="70"/>
      <c r="T35" s="56"/>
      <c r="U35" s="32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</row>
    <row r="36" spans="1:52" s="11" customFormat="1" ht="17.100000000000001" customHeight="1" thickBot="1" x14ac:dyDescent="0.3">
      <c r="A36" s="70"/>
      <c r="B36" s="73" t="s">
        <v>25</v>
      </c>
      <c r="C36" s="73"/>
      <c r="D36" s="70"/>
      <c r="E36" s="70"/>
      <c r="G36" s="70">
        <v>27</v>
      </c>
      <c r="H36" s="93" t="s">
        <v>74</v>
      </c>
      <c r="I36" s="93"/>
      <c r="J36" s="70">
        <v>76</v>
      </c>
      <c r="K36" s="70">
        <v>70</v>
      </c>
      <c r="M36" s="70"/>
      <c r="N36" s="73" t="s">
        <v>123</v>
      </c>
      <c r="O36" s="73"/>
      <c r="P36" s="70"/>
      <c r="Q36" s="70"/>
      <c r="T36" s="56"/>
      <c r="U36" s="32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</row>
    <row r="37" spans="1:52" s="11" customFormat="1" ht="17.100000000000001" customHeight="1" thickBot="1" x14ac:dyDescent="0.3">
      <c r="A37" s="70">
        <v>13</v>
      </c>
      <c r="B37" s="73" t="s">
        <v>26</v>
      </c>
      <c r="C37" s="73"/>
      <c r="D37" s="72"/>
      <c r="E37" s="72"/>
      <c r="G37" s="70"/>
      <c r="H37" s="93" t="s">
        <v>75</v>
      </c>
      <c r="I37" s="93"/>
      <c r="J37" s="70"/>
      <c r="K37" s="70"/>
      <c r="M37" s="70"/>
      <c r="N37" s="73" t="s">
        <v>124</v>
      </c>
      <c r="O37" s="73"/>
      <c r="P37" s="70"/>
      <c r="Q37" s="70"/>
      <c r="T37" s="56"/>
      <c r="U37" s="32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</row>
    <row r="38" spans="1:52" s="11" customFormat="1" ht="17.100000000000001" customHeight="1" thickBot="1" x14ac:dyDescent="0.3">
      <c r="A38" s="70"/>
      <c r="B38" s="73" t="s">
        <v>27</v>
      </c>
      <c r="C38" s="73"/>
      <c r="D38" s="72"/>
      <c r="E38" s="72"/>
      <c r="G38" s="70"/>
      <c r="H38" s="73" t="s">
        <v>76</v>
      </c>
      <c r="I38" s="73"/>
      <c r="J38" s="70"/>
      <c r="K38" s="70"/>
      <c r="M38" s="70"/>
      <c r="N38" s="73" t="s">
        <v>125</v>
      </c>
      <c r="O38" s="73"/>
      <c r="P38" s="70"/>
      <c r="Q38" s="70"/>
      <c r="T38" s="56"/>
      <c r="U38" s="32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</row>
    <row r="39" spans="1:52" s="11" customFormat="1" ht="17.100000000000001" customHeight="1" thickBot="1" x14ac:dyDescent="0.3">
      <c r="A39" s="70"/>
      <c r="B39" s="73" t="s">
        <v>28</v>
      </c>
      <c r="C39" s="73"/>
      <c r="D39" s="72"/>
      <c r="E39" s="72"/>
      <c r="G39" s="70"/>
      <c r="H39" s="73" t="s">
        <v>77</v>
      </c>
      <c r="I39" s="73"/>
      <c r="J39" s="70"/>
      <c r="K39" s="70"/>
      <c r="M39" s="70"/>
      <c r="N39" s="73" t="s">
        <v>126</v>
      </c>
      <c r="O39" s="73"/>
      <c r="P39" s="70"/>
      <c r="Q39" s="70"/>
      <c r="T39" s="56"/>
      <c r="U39" s="32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 spans="1:52" s="11" customFormat="1" ht="17.100000000000001" customHeight="1" thickBot="1" x14ac:dyDescent="0.3">
      <c r="A40" s="70">
        <v>14</v>
      </c>
      <c r="B40" s="73" t="s">
        <v>29</v>
      </c>
      <c r="C40" s="73"/>
      <c r="D40" s="70"/>
      <c r="E40" s="70"/>
      <c r="G40" s="70"/>
      <c r="H40" s="73" t="s">
        <v>78</v>
      </c>
      <c r="I40" s="73"/>
      <c r="J40" s="70"/>
      <c r="K40" s="70"/>
      <c r="M40" s="70"/>
      <c r="N40" s="73" t="s">
        <v>127</v>
      </c>
      <c r="O40" s="73"/>
      <c r="P40" s="70"/>
      <c r="Q40" s="70"/>
      <c r="T40" s="56"/>
      <c r="U40" s="32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</row>
    <row r="41" spans="1:52" s="11" customFormat="1" ht="17.100000000000001" customHeight="1" thickBot="1" x14ac:dyDescent="0.3">
      <c r="A41" s="70"/>
      <c r="B41" s="73" t="s">
        <v>30</v>
      </c>
      <c r="C41" s="73"/>
      <c r="D41" s="70"/>
      <c r="E41" s="70"/>
      <c r="G41" s="70"/>
      <c r="H41" s="73" t="s">
        <v>79</v>
      </c>
      <c r="I41" s="73"/>
      <c r="J41" s="70"/>
      <c r="K41" s="70"/>
      <c r="M41" s="70"/>
      <c r="N41" s="73" t="s">
        <v>128</v>
      </c>
      <c r="O41" s="73"/>
      <c r="P41" s="70"/>
      <c r="Q41" s="70"/>
      <c r="T41" s="56"/>
      <c r="U41" s="32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  <row r="42" spans="1:52" s="11" customFormat="1" ht="17.100000000000001" customHeight="1" thickBot="1" x14ac:dyDescent="0.3">
      <c r="A42" s="70">
        <v>15</v>
      </c>
      <c r="B42" s="73" t="s">
        <v>31</v>
      </c>
      <c r="C42" s="73"/>
      <c r="D42" s="70"/>
      <c r="E42" s="70"/>
      <c r="G42" s="70"/>
      <c r="H42" s="73" t="s">
        <v>80</v>
      </c>
      <c r="I42" s="73"/>
      <c r="J42" s="70"/>
      <c r="K42" s="70"/>
      <c r="M42" s="70"/>
      <c r="N42" s="73" t="s">
        <v>129</v>
      </c>
      <c r="O42" s="73"/>
      <c r="P42" s="70"/>
      <c r="Q42" s="70"/>
      <c r="T42" s="56"/>
      <c r="U42" s="32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</row>
    <row r="43" spans="1:52" s="11" customFormat="1" ht="17.100000000000001" customHeight="1" thickBot="1" x14ac:dyDescent="0.3">
      <c r="A43" s="70"/>
      <c r="B43" s="73" t="s">
        <v>32</v>
      </c>
      <c r="C43" s="73"/>
      <c r="D43" s="70"/>
      <c r="E43" s="70"/>
      <c r="G43" s="70">
        <v>28</v>
      </c>
      <c r="H43" s="73" t="s">
        <v>81</v>
      </c>
      <c r="I43" s="73"/>
      <c r="J43" s="70">
        <v>72</v>
      </c>
      <c r="K43" s="70">
        <v>70</v>
      </c>
      <c r="M43" s="70"/>
      <c r="N43" s="73" t="s">
        <v>130</v>
      </c>
      <c r="O43" s="73"/>
      <c r="P43" s="70"/>
      <c r="Q43" s="70"/>
      <c r="T43" s="56"/>
      <c r="U43" s="32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</row>
    <row r="44" spans="1:52" s="11" customFormat="1" ht="17.100000000000001" customHeight="1" thickBot="1" x14ac:dyDescent="0.3">
      <c r="A44" s="70">
        <v>16</v>
      </c>
      <c r="B44" s="73" t="s">
        <v>33</v>
      </c>
      <c r="C44" s="73"/>
      <c r="D44" s="72"/>
      <c r="E44" s="72"/>
      <c r="G44" s="70"/>
      <c r="H44" s="73" t="s">
        <v>82</v>
      </c>
      <c r="I44" s="73"/>
      <c r="J44" s="70"/>
      <c r="K44" s="70"/>
      <c r="M44" s="70"/>
      <c r="N44" s="73" t="s">
        <v>131</v>
      </c>
      <c r="O44" s="73"/>
      <c r="P44" s="70"/>
      <c r="Q44" s="70"/>
      <c r="T44" s="56"/>
      <c r="U44" s="32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</row>
    <row r="45" spans="1:52" s="11" customFormat="1" ht="17.100000000000001" customHeight="1" thickBot="1" x14ac:dyDescent="0.3">
      <c r="A45" s="70"/>
      <c r="B45" s="73" t="s">
        <v>34</v>
      </c>
      <c r="C45" s="73"/>
      <c r="D45" s="72"/>
      <c r="E45" s="72"/>
      <c r="G45" s="70"/>
      <c r="H45" s="73" t="s">
        <v>83</v>
      </c>
      <c r="I45" s="73"/>
      <c r="J45" s="70"/>
      <c r="K45" s="70"/>
      <c r="M45" s="70"/>
      <c r="N45" s="73" t="s">
        <v>132</v>
      </c>
      <c r="O45" s="73"/>
      <c r="P45" s="70"/>
      <c r="Q45" s="70"/>
      <c r="T45" s="56"/>
      <c r="U45" s="32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</row>
    <row r="46" spans="1:52" s="11" customFormat="1" ht="17.100000000000001" customHeight="1" thickBot="1" x14ac:dyDescent="0.3">
      <c r="A46" s="70"/>
      <c r="B46" s="73" t="s">
        <v>35</v>
      </c>
      <c r="C46" s="73"/>
      <c r="D46" s="72"/>
      <c r="E46" s="72"/>
      <c r="G46" s="70"/>
      <c r="H46" s="73" t="s">
        <v>84</v>
      </c>
      <c r="I46" s="73"/>
      <c r="J46" s="70"/>
      <c r="K46" s="70"/>
      <c r="M46" s="70"/>
      <c r="N46" s="73" t="s">
        <v>133</v>
      </c>
      <c r="O46" s="73"/>
      <c r="P46" s="70"/>
      <c r="Q46" s="70"/>
      <c r="T46" s="56"/>
      <c r="U46" s="32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</row>
    <row r="47" spans="1:52" s="11" customFormat="1" ht="17.100000000000001" customHeight="1" thickBot="1" x14ac:dyDescent="0.3">
      <c r="A47" s="70">
        <v>17</v>
      </c>
      <c r="B47" s="73" t="s">
        <v>36</v>
      </c>
      <c r="C47" s="73"/>
      <c r="D47" s="70"/>
      <c r="E47" s="70"/>
      <c r="G47" s="70"/>
      <c r="H47" s="73" t="s">
        <v>85</v>
      </c>
      <c r="I47" s="73"/>
      <c r="J47" s="70"/>
      <c r="K47" s="70"/>
      <c r="M47" s="70"/>
      <c r="N47" s="73" t="s">
        <v>134</v>
      </c>
      <c r="O47" s="73"/>
      <c r="P47" s="70"/>
      <c r="Q47" s="70"/>
      <c r="T47" s="56"/>
      <c r="U47" s="32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</row>
    <row r="48" spans="1:52" s="11" customFormat="1" ht="17.100000000000001" customHeight="1" thickBot="1" x14ac:dyDescent="0.3">
      <c r="A48" s="70"/>
      <c r="B48" s="73" t="s">
        <v>37</v>
      </c>
      <c r="C48" s="73"/>
      <c r="D48" s="70"/>
      <c r="E48" s="70"/>
      <c r="G48" s="70"/>
      <c r="H48" s="73" t="s">
        <v>86</v>
      </c>
      <c r="I48" s="73"/>
      <c r="J48" s="70"/>
      <c r="K48" s="70"/>
      <c r="M48" s="70"/>
      <c r="N48" s="73" t="s">
        <v>135</v>
      </c>
      <c r="O48" s="73"/>
      <c r="P48" s="70"/>
      <c r="Q48" s="70"/>
      <c r="T48" s="56"/>
      <c r="U48" s="32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</row>
    <row r="49" spans="1:52" s="11" customFormat="1" ht="17.100000000000001" customHeight="1" thickBot="1" x14ac:dyDescent="0.3">
      <c r="A49" s="70">
        <v>18</v>
      </c>
      <c r="B49" s="73" t="s">
        <v>38</v>
      </c>
      <c r="C49" s="73"/>
      <c r="D49" s="72"/>
      <c r="E49" s="72"/>
      <c r="G49" s="70"/>
      <c r="H49" s="73" t="s">
        <v>87</v>
      </c>
      <c r="I49" s="73"/>
      <c r="J49" s="70"/>
      <c r="K49" s="70"/>
      <c r="M49" s="70"/>
      <c r="N49" s="73" t="s">
        <v>136</v>
      </c>
      <c r="O49" s="73"/>
      <c r="P49" s="70"/>
      <c r="Q49" s="70"/>
      <c r="T49" s="56"/>
      <c r="U49" s="32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</row>
    <row r="50" spans="1:52" s="11" customFormat="1" ht="17.100000000000001" customHeight="1" thickBot="1" x14ac:dyDescent="0.3">
      <c r="A50" s="70"/>
      <c r="B50" s="73" t="s">
        <v>39</v>
      </c>
      <c r="C50" s="73"/>
      <c r="D50" s="72"/>
      <c r="E50" s="72"/>
      <c r="G50" s="70"/>
      <c r="H50" s="73" t="s">
        <v>88</v>
      </c>
      <c r="I50" s="73"/>
      <c r="J50" s="70"/>
      <c r="K50" s="70"/>
      <c r="M50" s="71"/>
      <c r="N50" s="84" t="s">
        <v>137</v>
      </c>
      <c r="O50" s="84"/>
      <c r="P50" s="71"/>
      <c r="Q50" s="71"/>
      <c r="T50" s="56"/>
      <c r="U50" s="32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</row>
    <row r="51" spans="1:52" s="11" customFormat="1" ht="17.100000000000001" customHeight="1" thickTop="1" thickBot="1" x14ac:dyDescent="0.3">
      <c r="A51" s="70"/>
      <c r="B51" s="73" t="s">
        <v>41</v>
      </c>
      <c r="C51" s="73"/>
      <c r="D51" s="72"/>
      <c r="E51" s="72"/>
      <c r="G51" s="70"/>
      <c r="H51" s="73" t="s">
        <v>89</v>
      </c>
      <c r="I51" s="73"/>
      <c r="J51" s="70"/>
      <c r="K51" s="70"/>
      <c r="M51" s="74" t="s">
        <v>145</v>
      </c>
      <c r="N51" s="74"/>
      <c r="O51" s="74"/>
      <c r="P51" s="82">
        <f>AZ14</f>
        <v>76.142857142857139</v>
      </c>
      <c r="Q51" s="82">
        <f>AZ15</f>
        <v>70</v>
      </c>
      <c r="T51" s="56"/>
      <c r="U51" s="32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</row>
    <row r="52" spans="1:52" s="11" customFormat="1" ht="17.100000000000001" customHeight="1" thickBot="1" x14ac:dyDescent="0.3">
      <c r="A52" s="70">
        <v>19</v>
      </c>
      <c r="B52" s="73" t="s">
        <v>42</v>
      </c>
      <c r="C52" s="73"/>
      <c r="D52" s="72"/>
      <c r="E52" s="72"/>
      <c r="G52" s="70">
        <v>29</v>
      </c>
      <c r="H52" s="73" t="s">
        <v>90</v>
      </c>
      <c r="I52" s="73"/>
      <c r="J52" s="70">
        <v>88</v>
      </c>
      <c r="K52" s="70">
        <v>70</v>
      </c>
      <c r="M52" s="75"/>
      <c r="N52" s="75"/>
      <c r="O52" s="75"/>
      <c r="P52" s="83"/>
      <c r="Q52" s="83"/>
      <c r="T52" s="56"/>
      <c r="U52" s="32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</row>
    <row r="53" spans="1:52" s="11" customFormat="1" ht="17.100000000000001" customHeight="1" thickBot="1" x14ac:dyDescent="0.3">
      <c r="A53" s="70"/>
      <c r="B53" s="73" t="s">
        <v>40</v>
      </c>
      <c r="C53" s="73"/>
      <c r="D53" s="72"/>
      <c r="E53" s="72"/>
      <c r="G53" s="70"/>
      <c r="H53" s="73" t="s">
        <v>91</v>
      </c>
      <c r="I53" s="73"/>
      <c r="J53" s="70"/>
      <c r="K53" s="70"/>
      <c r="M53" s="39" t="s">
        <v>163</v>
      </c>
      <c r="N53" s="13"/>
      <c r="P53" s="56"/>
      <c r="Q53" s="56"/>
      <c r="T53" s="56"/>
      <c r="U53" s="32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</row>
    <row r="54" spans="1:52" s="11" customFormat="1" ht="17.100000000000001" customHeight="1" thickBot="1" x14ac:dyDescent="0.3">
      <c r="A54" s="70"/>
      <c r="B54" s="73" t="s">
        <v>43</v>
      </c>
      <c r="C54" s="73"/>
      <c r="D54" s="72"/>
      <c r="E54" s="72"/>
      <c r="G54" s="70"/>
      <c r="H54" s="73" t="s">
        <v>92</v>
      </c>
      <c r="I54" s="73"/>
      <c r="J54" s="70"/>
      <c r="K54" s="70"/>
      <c r="M54" s="12"/>
      <c r="N54" s="15"/>
      <c r="P54" s="56"/>
      <c r="Q54" s="56"/>
      <c r="T54" s="56"/>
      <c r="U54" s="32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</row>
    <row r="55" spans="1:52" s="11" customFormat="1" ht="17.100000000000001" customHeight="1" thickBot="1" x14ac:dyDescent="0.45">
      <c r="A55" s="70">
        <v>20</v>
      </c>
      <c r="B55" s="73" t="s">
        <v>44</v>
      </c>
      <c r="C55" s="73"/>
      <c r="D55" s="72"/>
      <c r="E55" s="72"/>
      <c r="G55" s="70"/>
      <c r="H55" s="73" t="s">
        <v>93</v>
      </c>
      <c r="I55" s="73"/>
      <c r="J55" s="70"/>
      <c r="K55" s="70"/>
      <c r="M55" s="85" t="s">
        <v>175</v>
      </c>
      <c r="N55" s="85"/>
      <c r="O55" s="85"/>
      <c r="P55" s="85"/>
      <c r="Q55" s="85"/>
      <c r="T55" s="56"/>
      <c r="U55" s="32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</row>
    <row r="56" spans="1:52" s="11" customFormat="1" ht="17.100000000000001" customHeight="1" thickBot="1" x14ac:dyDescent="0.45">
      <c r="A56" s="70"/>
      <c r="B56" s="73" t="s">
        <v>45</v>
      </c>
      <c r="C56" s="73"/>
      <c r="D56" s="72"/>
      <c r="E56" s="72"/>
      <c r="G56" s="70"/>
      <c r="H56" s="73" t="s">
        <v>94</v>
      </c>
      <c r="I56" s="73"/>
      <c r="J56" s="70"/>
      <c r="K56" s="70"/>
      <c r="M56" s="85" t="s">
        <v>191</v>
      </c>
      <c r="N56" s="85"/>
      <c r="O56" s="85"/>
      <c r="P56" s="85"/>
      <c r="Q56" s="85"/>
      <c r="T56" s="56"/>
      <c r="U56" s="32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</row>
    <row r="57" spans="1:52" s="11" customFormat="1" ht="17.100000000000001" customHeight="1" thickBot="1" x14ac:dyDescent="0.3">
      <c r="A57" s="70"/>
      <c r="B57" s="73" t="s">
        <v>46</v>
      </c>
      <c r="C57" s="73"/>
      <c r="D57" s="72"/>
      <c r="E57" s="72"/>
      <c r="G57" s="70"/>
      <c r="H57" s="73" t="s">
        <v>95</v>
      </c>
      <c r="I57" s="73"/>
      <c r="J57" s="70"/>
      <c r="K57" s="70"/>
      <c r="M57" s="12"/>
      <c r="N57" s="15"/>
      <c r="P57" s="61"/>
      <c r="Q57" s="61"/>
      <c r="T57" s="56"/>
      <c r="U57" s="32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</row>
    <row r="58" spans="1:52" s="11" customFormat="1" ht="17.100000000000001" customHeight="1" thickBot="1" x14ac:dyDescent="0.3">
      <c r="A58" s="70">
        <v>21</v>
      </c>
      <c r="B58" s="73" t="s">
        <v>47</v>
      </c>
      <c r="C58" s="73"/>
      <c r="D58" s="72"/>
      <c r="E58" s="72"/>
      <c r="G58" s="70"/>
      <c r="H58" s="73" t="s">
        <v>96</v>
      </c>
      <c r="I58" s="73"/>
      <c r="J58" s="70"/>
      <c r="K58" s="70"/>
      <c r="M58" s="86" t="s">
        <v>174</v>
      </c>
      <c r="N58" s="86"/>
      <c r="O58" s="86"/>
      <c r="P58" s="86"/>
      <c r="Q58" s="86"/>
      <c r="T58" s="56"/>
      <c r="U58" s="32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</row>
    <row r="59" spans="1:52" s="11" customFormat="1" ht="17.100000000000001" customHeight="1" thickBot="1" x14ac:dyDescent="0.3">
      <c r="A59" s="70"/>
      <c r="B59" s="73" t="s">
        <v>48</v>
      </c>
      <c r="C59" s="73"/>
      <c r="D59" s="72"/>
      <c r="E59" s="72"/>
      <c r="G59" s="70"/>
      <c r="H59" s="73" t="s">
        <v>97</v>
      </c>
      <c r="I59" s="73"/>
      <c r="J59" s="70"/>
      <c r="K59" s="70"/>
      <c r="M59" s="86"/>
      <c r="N59" s="86"/>
      <c r="O59" s="86"/>
      <c r="P59" s="86"/>
      <c r="Q59" s="86"/>
      <c r="T59" s="56"/>
      <c r="U59" s="32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</row>
    <row r="60" spans="1:52" s="11" customFormat="1" ht="17.100000000000001" customHeight="1" thickBot="1" x14ac:dyDescent="0.3">
      <c r="A60" s="70"/>
      <c r="B60" s="73" t="s">
        <v>49</v>
      </c>
      <c r="C60" s="73"/>
      <c r="D60" s="72"/>
      <c r="E60" s="72"/>
      <c r="G60" s="70"/>
      <c r="H60" s="73" t="s">
        <v>98</v>
      </c>
      <c r="I60" s="73"/>
      <c r="J60" s="70"/>
      <c r="K60" s="70"/>
      <c r="M60" s="68"/>
      <c r="N60" s="69"/>
      <c r="O60" s="69"/>
      <c r="P60" s="68"/>
      <c r="Q60" s="68"/>
      <c r="T60" s="56"/>
      <c r="U60" s="32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</row>
    <row r="61" spans="1:52" s="11" customFormat="1" ht="17.100000000000001" customHeight="1" thickBot="1" x14ac:dyDescent="0.3">
      <c r="A61" s="70"/>
      <c r="B61" s="73" t="s">
        <v>50</v>
      </c>
      <c r="C61" s="73"/>
      <c r="D61" s="72"/>
      <c r="E61" s="72"/>
      <c r="G61" s="70"/>
      <c r="H61" s="73" t="s">
        <v>99</v>
      </c>
      <c r="I61" s="73"/>
      <c r="J61" s="70"/>
      <c r="K61" s="70"/>
      <c r="M61" s="68"/>
      <c r="N61" s="69"/>
      <c r="O61" s="69"/>
      <c r="P61" s="68"/>
      <c r="Q61" s="68"/>
      <c r="T61" s="56"/>
      <c r="U61" s="32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</row>
    <row r="62" spans="1:52" s="11" customFormat="1" ht="17.100000000000001" customHeight="1" thickBot="1" x14ac:dyDescent="0.3">
      <c r="A62" s="70"/>
      <c r="B62" s="73" t="s">
        <v>51</v>
      </c>
      <c r="C62" s="73"/>
      <c r="D62" s="72"/>
      <c r="E62" s="72"/>
      <c r="G62" s="70"/>
      <c r="H62" s="73" t="s">
        <v>100</v>
      </c>
      <c r="I62" s="73"/>
      <c r="J62" s="70"/>
      <c r="K62" s="70"/>
      <c r="M62" s="87" t="s">
        <v>177</v>
      </c>
      <c r="N62" s="87"/>
      <c r="O62" s="87"/>
      <c r="P62" s="87"/>
      <c r="Q62" s="87"/>
      <c r="T62" s="56"/>
      <c r="U62" s="32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</row>
    <row r="63" spans="1:52" ht="6" customHeight="1" x14ac:dyDescent="0.25">
      <c r="M63" s="61"/>
      <c r="N63" s="61"/>
      <c r="O63" s="61"/>
      <c r="P63" s="61"/>
      <c r="Q63" s="61"/>
    </row>
    <row r="64" spans="1:52" x14ac:dyDescent="0.25">
      <c r="B64" s="4"/>
      <c r="E64" s="18"/>
      <c r="F64" s="3"/>
      <c r="H64" s="2"/>
      <c r="M64" s="61"/>
      <c r="P64" s="61"/>
      <c r="Q64" s="61"/>
    </row>
    <row r="65" spans="2:8" x14ac:dyDescent="0.25">
      <c r="B65" s="2"/>
      <c r="H65" s="2"/>
    </row>
    <row r="66" spans="2:8" x14ac:dyDescent="0.25">
      <c r="B66" s="2"/>
      <c r="H66" s="2"/>
    </row>
  </sheetData>
  <mergeCells count="250">
    <mergeCell ref="B54:C54"/>
    <mergeCell ref="H54:I54"/>
    <mergeCell ref="H60:I60"/>
    <mergeCell ref="B61:C61"/>
    <mergeCell ref="H61:I61"/>
    <mergeCell ref="B62:C62"/>
    <mergeCell ref="H62:I62"/>
    <mergeCell ref="M62:Q62"/>
    <mergeCell ref="A58:A62"/>
    <mergeCell ref="B58:C58"/>
    <mergeCell ref="D58:D62"/>
    <mergeCell ref="E58:E62"/>
    <mergeCell ref="H58:I58"/>
    <mergeCell ref="M58:Q58"/>
    <mergeCell ref="B59:C59"/>
    <mergeCell ref="H59:I59"/>
    <mergeCell ref="M59:Q59"/>
    <mergeCell ref="B60:C60"/>
    <mergeCell ref="A55:A57"/>
    <mergeCell ref="B55:C55"/>
    <mergeCell ref="D55:D57"/>
    <mergeCell ref="E55:E57"/>
    <mergeCell ref="H55:I55"/>
    <mergeCell ref="Q51:Q52"/>
    <mergeCell ref="A52:A54"/>
    <mergeCell ref="B52:C52"/>
    <mergeCell ref="D52:D54"/>
    <mergeCell ref="E52:E54"/>
    <mergeCell ref="G52:G62"/>
    <mergeCell ref="H52:I52"/>
    <mergeCell ref="J52:J62"/>
    <mergeCell ref="K52:K62"/>
    <mergeCell ref="B53:C53"/>
    <mergeCell ref="A49:A51"/>
    <mergeCell ref="Q14:Q50"/>
    <mergeCell ref="M55:Q55"/>
    <mergeCell ref="B56:C56"/>
    <mergeCell ref="H56:I56"/>
    <mergeCell ref="M56:Q56"/>
    <mergeCell ref="B57:C57"/>
    <mergeCell ref="H57:I57"/>
    <mergeCell ref="H53:I53"/>
    <mergeCell ref="B51:C51"/>
    <mergeCell ref="H51:I51"/>
    <mergeCell ref="M51:O52"/>
    <mergeCell ref="P51:P52"/>
    <mergeCell ref="B48:C48"/>
    <mergeCell ref="P14:P50"/>
    <mergeCell ref="B15:C15"/>
    <mergeCell ref="H15:I15"/>
    <mergeCell ref="B16:C16"/>
    <mergeCell ref="H16:I16"/>
    <mergeCell ref="H46:I46"/>
    <mergeCell ref="N46:O46"/>
    <mergeCell ref="H43:I43"/>
    <mergeCell ref="J43:J51"/>
    <mergeCell ref="N39:O39"/>
    <mergeCell ref="B46:C46"/>
    <mergeCell ref="E35:E36"/>
    <mergeCell ref="H35:I35"/>
    <mergeCell ref="N35:O35"/>
    <mergeCell ref="B36:C36"/>
    <mergeCell ref="N32:O32"/>
    <mergeCell ref="H50:I50"/>
    <mergeCell ref="N50:O50"/>
    <mergeCell ref="B43:C43"/>
    <mergeCell ref="G43:G51"/>
    <mergeCell ref="H48:I48"/>
    <mergeCell ref="N48:O48"/>
    <mergeCell ref="B49:C49"/>
    <mergeCell ref="D49:D51"/>
    <mergeCell ref="E49:E51"/>
    <mergeCell ref="H49:I49"/>
    <mergeCell ref="N49:O49"/>
    <mergeCell ref="B50:C50"/>
    <mergeCell ref="N40:O40"/>
    <mergeCell ref="B41:C41"/>
    <mergeCell ref="H41:I41"/>
    <mergeCell ref="N41:O41"/>
    <mergeCell ref="A47:A48"/>
    <mergeCell ref="B47:C47"/>
    <mergeCell ref="D47:D48"/>
    <mergeCell ref="E47:E48"/>
    <mergeCell ref="H47:I47"/>
    <mergeCell ref="N47:O47"/>
    <mergeCell ref="K43:K51"/>
    <mergeCell ref="N43:O43"/>
    <mergeCell ref="A44:A46"/>
    <mergeCell ref="B44:C44"/>
    <mergeCell ref="D44:D46"/>
    <mergeCell ref="E44:E46"/>
    <mergeCell ref="H44:I44"/>
    <mergeCell ref="N44:O44"/>
    <mergeCell ref="B45:C45"/>
    <mergeCell ref="H45:I45"/>
    <mergeCell ref="A42:A43"/>
    <mergeCell ref="B42:C42"/>
    <mergeCell ref="D42:D43"/>
    <mergeCell ref="E42:E43"/>
    <mergeCell ref="A37:A39"/>
    <mergeCell ref="B37:C37"/>
    <mergeCell ref="D37:D39"/>
    <mergeCell ref="E37:E39"/>
    <mergeCell ref="H37:I37"/>
    <mergeCell ref="N37:O37"/>
    <mergeCell ref="B38:C38"/>
    <mergeCell ref="H38:I38"/>
    <mergeCell ref="N45:O45"/>
    <mergeCell ref="N38:O38"/>
    <mergeCell ref="B39:C39"/>
    <mergeCell ref="G36:G42"/>
    <mergeCell ref="H36:I36"/>
    <mergeCell ref="J36:J42"/>
    <mergeCell ref="K36:K42"/>
    <mergeCell ref="N36:O36"/>
    <mergeCell ref="H39:I39"/>
    <mergeCell ref="H42:I42"/>
    <mergeCell ref="N42:O42"/>
    <mergeCell ref="A40:A41"/>
    <mergeCell ref="B40:C40"/>
    <mergeCell ref="D40:D41"/>
    <mergeCell ref="E40:E41"/>
    <mergeCell ref="H40:I40"/>
    <mergeCell ref="N33:O33"/>
    <mergeCell ref="B34:C34"/>
    <mergeCell ref="H34:I34"/>
    <mergeCell ref="N34:O34"/>
    <mergeCell ref="J30:J35"/>
    <mergeCell ref="K30:K35"/>
    <mergeCell ref="N30:O30"/>
    <mergeCell ref="B31:C31"/>
    <mergeCell ref="H31:I31"/>
    <mergeCell ref="N31:O31"/>
    <mergeCell ref="B32:C32"/>
    <mergeCell ref="D32:D34"/>
    <mergeCell ref="E32:E34"/>
    <mergeCell ref="H32:I32"/>
    <mergeCell ref="A30:A31"/>
    <mergeCell ref="B30:C30"/>
    <mergeCell ref="D30:D31"/>
    <mergeCell ref="E30:E31"/>
    <mergeCell ref="G30:G35"/>
    <mergeCell ref="H30:I30"/>
    <mergeCell ref="A32:A34"/>
    <mergeCell ref="A35:A36"/>
    <mergeCell ref="B35:C35"/>
    <mergeCell ref="D35:D36"/>
    <mergeCell ref="B33:C33"/>
    <mergeCell ref="H33:I33"/>
    <mergeCell ref="A26:A27"/>
    <mergeCell ref="B26:C26"/>
    <mergeCell ref="D26:D27"/>
    <mergeCell ref="E26:E27"/>
    <mergeCell ref="H26:I26"/>
    <mergeCell ref="N26:O26"/>
    <mergeCell ref="B27:C27"/>
    <mergeCell ref="H27:I27"/>
    <mergeCell ref="N27:O27"/>
    <mergeCell ref="G25:G29"/>
    <mergeCell ref="H25:I25"/>
    <mergeCell ref="J25:J29"/>
    <mergeCell ref="K25:K29"/>
    <mergeCell ref="N25:O25"/>
    <mergeCell ref="A28:A29"/>
    <mergeCell ref="B28:C28"/>
    <mergeCell ref="D28:D29"/>
    <mergeCell ref="E28:E29"/>
    <mergeCell ref="H28:I28"/>
    <mergeCell ref="N28:O28"/>
    <mergeCell ref="B29:C29"/>
    <mergeCell ref="H29:I29"/>
    <mergeCell ref="N29:O29"/>
    <mergeCell ref="B21:C21"/>
    <mergeCell ref="H21:I21"/>
    <mergeCell ref="N21:O21"/>
    <mergeCell ref="A22:A23"/>
    <mergeCell ref="B22:C22"/>
    <mergeCell ref="D22:D23"/>
    <mergeCell ref="E22:E23"/>
    <mergeCell ref="G22:G24"/>
    <mergeCell ref="H22:I22"/>
    <mergeCell ref="J22:J24"/>
    <mergeCell ref="N24:O24"/>
    <mergeCell ref="K22:K24"/>
    <mergeCell ref="N22:O22"/>
    <mergeCell ref="B23:C23"/>
    <mergeCell ref="H23:I23"/>
    <mergeCell ref="N23:O23"/>
    <mergeCell ref="A24:A25"/>
    <mergeCell ref="B24:C24"/>
    <mergeCell ref="D24:D25"/>
    <mergeCell ref="E24:E25"/>
    <mergeCell ref="H24:I24"/>
    <mergeCell ref="B25:C25"/>
    <mergeCell ref="A19:A20"/>
    <mergeCell ref="B19:C19"/>
    <mergeCell ref="D19:D20"/>
    <mergeCell ref="E19:E20"/>
    <mergeCell ref="H19:I19"/>
    <mergeCell ref="N19:O19"/>
    <mergeCell ref="B20:C20"/>
    <mergeCell ref="H20:I20"/>
    <mergeCell ref="N20:O20"/>
    <mergeCell ref="A17:A18"/>
    <mergeCell ref="B17:C17"/>
    <mergeCell ref="D17:D18"/>
    <mergeCell ref="E17:E18"/>
    <mergeCell ref="H17:I17"/>
    <mergeCell ref="N17:O17"/>
    <mergeCell ref="B18:C18"/>
    <mergeCell ref="G18:G21"/>
    <mergeCell ref="H18:I18"/>
    <mergeCell ref="J18:J21"/>
    <mergeCell ref="J14:J17"/>
    <mergeCell ref="K14:K17"/>
    <mergeCell ref="M14:M50"/>
    <mergeCell ref="N14:O14"/>
    <mergeCell ref="N15:O15"/>
    <mergeCell ref="N16:O16"/>
    <mergeCell ref="K18:K21"/>
    <mergeCell ref="N18:O18"/>
    <mergeCell ref="A14:A15"/>
    <mergeCell ref="B14:C14"/>
    <mergeCell ref="D14:D15"/>
    <mergeCell ref="E14:E15"/>
    <mergeCell ref="G14:G17"/>
    <mergeCell ref="H14:I14"/>
    <mergeCell ref="U11:U12"/>
    <mergeCell ref="V11:AY11"/>
    <mergeCell ref="AZ11:AZ12"/>
    <mergeCell ref="A8:B8"/>
    <mergeCell ref="M8:N8"/>
    <mergeCell ref="A9:B9"/>
    <mergeCell ref="M9:N9"/>
    <mergeCell ref="A11:A12"/>
    <mergeCell ref="B11:C12"/>
    <mergeCell ref="D11:E11"/>
    <mergeCell ref="G11:G12"/>
    <mergeCell ref="H11:I12"/>
    <mergeCell ref="J11:K11"/>
    <mergeCell ref="A1:Q1"/>
    <mergeCell ref="A2:Q2"/>
    <mergeCell ref="A3:Q3"/>
    <mergeCell ref="A4:Q4"/>
    <mergeCell ref="A6:Q6"/>
    <mergeCell ref="A7:B7"/>
    <mergeCell ref="M7:N7"/>
    <mergeCell ref="M11:M12"/>
    <mergeCell ref="N11:O12"/>
    <mergeCell ref="P11:Q11"/>
  </mergeCells>
  <pageMargins left="0.35" right="0.25" top="0.31" bottom="0.74803149606299213" header="0.31496062992125984" footer="0.31496062992125984"/>
  <pageSetup paperSize="5" scale="85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6"/>
  <sheetViews>
    <sheetView tabSelected="1" topLeftCell="A38" zoomScaleNormal="100" workbookViewId="0">
      <selection activeCell="M56" sqref="M56:Q56"/>
    </sheetView>
  </sheetViews>
  <sheetFormatPr defaultRowHeight="15" x14ac:dyDescent="0.25"/>
  <cols>
    <col min="1" max="1" width="4.7109375" style="56" customWidth="1"/>
    <col min="2" max="2" width="18.7109375" customWidth="1"/>
    <col min="3" max="3" width="6.7109375" customWidth="1"/>
    <col min="4" max="5" width="4.7109375" style="56" customWidth="1"/>
    <col min="6" max="6" width="2.28515625" customWidth="1"/>
    <col min="7" max="7" width="4.7109375" style="56" customWidth="1"/>
    <col min="8" max="8" width="18.7109375" customWidth="1"/>
    <col min="9" max="9" width="4.7109375" customWidth="1"/>
    <col min="10" max="11" width="4.7109375" style="56" customWidth="1"/>
    <col min="12" max="12" width="2.28515625" customWidth="1"/>
    <col min="13" max="13" width="4.7109375" style="56" customWidth="1"/>
    <col min="14" max="15" width="10.7109375" customWidth="1"/>
    <col min="16" max="17" width="4.7109375" style="56" customWidth="1"/>
    <col min="20" max="20" width="4.42578125" style="5" customWidth="1"/>
    <col min="21" max="21" width="12.28515625" style="31" customWidth="1"/>
    <col min="22" max="39" width="4.7109375" style="56" customWidth="1"/>
    <col min="40" max="51" width="4.7109375" style="5" customWidth="1"/>
    <col min="52" max="52" width="9.140625" style="5"/>
  </cols>
  <sheetData>
    <row r="1" spans="1:52" ht="25.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52" ht="21" customHeight="1" x14ac:dyDescent="0.25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52" ht="18" customHeight="1" x14ac:dyDescent="0.25">
      <c r="A3" s="77" t="s">
        <v>158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52" ht="15" customHeight="1" x14ac:dyDescent="0.25">
      <c r="A4" s="78" t="s">
        <v>159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52" ht="24.75" customHeight="1" x14ac:dyDescent="0.25"/>
    <row r="6" spans="1:52" ht="20.100000000000001" customHeight="1" x14ac:dyDescent="0.3">
      <c r="A6" s="79" t="s">
        <v>138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</row>
    <row r="7" spans="1:52" ht="15" customHeight="1" x14ac:dyDescent="0.25">
      <c r="A7" s="91" t="s">
        <v>154</v>
      </c>
      <c r="B7" s="91"/>
      <c r="C7" s="9" t="s">
        <v>181</v>
      </c>
      <c r="D7" s="51"/>
      <c r="E7" s="51"/>
      <c r="F7" s="56"/>
      <c r="J7" s="51"/>
      <c r="M7" s="92" t="s">
        <v>139</v>
      </c>
      <c r="N7" s="92"/>
      <c r="O7" s="10" t="s">
        <v>155</v>
      </c>
    </row>
    <row r="8" spans="1:52" ht="15" customHeight="1" x14ac:dyDescent="0.25">
      <c r="A8" s="91" t="s">
        <v>140</v>
      </c>
      <c r="B8" s="91"/>
      <c r="C8" s="9">
        <v>2101106</v>
      </c>
      <c r="D8" s="51"/>
      <c r="E8" s="51"/>
      <c r="F8" s="56"/>
      <c r="J8" s="51"/>
      <c r="M8" s="92" t="s">
        <v>141</v>
      </c>
      <c r="N8" s="92"/>
      <c r="O8" s="10" t="s">
        <v>176</v>
      </c>
    </row>
    <row r="9" spans="1:52" ht="15" customHeight="1" x14ac:dyDescent="0.25">
      <c r="A9" s="91" t="s">
        <v>173</v>
      </c>
      <c r="B9" s="91"/>
      <c r="C9" s="38" t="s">
        <v>160</v>
      </c>
      <c r="D9" s="51"/>
      <c r="E9" s="51"/>
      <c r="F9" s="56"/>
      <c r="I9" s="8"/>
      <c r="J9" s="51"/>
      <c r="K9" s="6"/>
      <c r="L9" s="8"/>
      <c r="M9" s="92" t="s">
        <v>142</v>
      </c>
      <c r="N9" s="92"/>
      <c r="O9" s="10" t="s">
        <v>156</v>
      </c>
      <c r="P9" s="6"/>
      <c r="Q9" s="6"/>
    </row>
    <row r="10" spans="1:52" ht="4.5" customHeight="1" thickBot="1" x14ac:dyDescent="0.3"/>
    <row r="11" spans="1:52" ht="16.5" thickTop="1" thickBot="1" x14ac:dyDescent="0.3">
      <c r="A11" s="81" t="s">
        <v>0</v>
      </c>
      <c r="B11" s="81" t="s">
        <v>1</v>
      </c>
      <c r="C11" s="81"/>
      <c r="D11" s="81" t="s">
        <v>2</v>
      </c>
      <c r="E11" s="81"/>
      <c r="F11" s="19"/>
      <c r="G11" s="81" t="s">
        <v>0</v>
      </c>
      <c r="H11" s="81" t="s">
        <v>1</v>
      </c>
      <c r="I11" s="81"/>
      <c r="J11" s="81" t="s">
        <v>2</v>
      </c>
      <c r="K11" s="81"/>
      <c r="L11" s="19"/>
      <c r="M11" s="81" t="s">
        <v>0</v>
      </c>
      <c r="N11" s="81" t="s">
        <v>1</v>
      </c>
      <c r="O11" s="81"/>
      <c r="P11" s="81" t="s">
        <v>2</v>
      </c>
      <c r="Q11" s="81"/>
      <c r="U11" s="89"/>
      <c r="V11" s="88" t="s">
        <v>153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 t="s">
        <v>146</v>
      </c>
    </row>
    <row r="12" spans="1:52" ht="12" customHeight="1" thickTop="1" thickBot="1" x14ac:dyDescent="0.3">
      <c r="A12" s="81"/>
      <c r="B12" s="81"/>
      <c r="C12" s="81"/>
      <c r="D12" s="53" t="s">
        <v>143</v>
      </c>
      <c r="E12" s="53" t="s">
        <v>144</v>
      </c>
      <c r="F12" s="19"/>
      <c r="G12" s="81"/>
      <c r="H12" s="81"/>
      <c r="I12" s="81"/>
      <c r="J12" s="53" t="s">
        <v>143</v>
      </c>
      <c r="K12" s="53" t="s">
        <v>144</v>
      </c>
      <c r="L12" s="19"/>
      <c r="M12" s="81"/>
      <c r="N12" s="81"/>
      <c r="O12" s="81"/>
      <c r="P12" s="53" t="s">
        <v>143</v>
      </c>
      <c r="Q12" s="53" t="s">
        <v>144</v>
      </c>
      <c r="U12" s="90"/>
      <c r="V12" s="52">
        <v>1</v>
      </c>
      <c r="W12" s="52">
        <v>2</v>
      </c>
      <c r="X12" s="52">
        <v>3</v>
      </c>
      <c r="Y12" s="52">
        <v>4</v>
      </c>
      <c r="Z12" s="52">
        <v>5</v>
      </c>
      <c r="AA12" s="52">
        <v>6</v>
      </c>
      <c r="AB12" s="52">
        <v>7</v>
      </c>
      <c r="AC12" s="52">
        <v>8</v>
      </c>
      <c r="AD12" s="52">
        <v>9</v>
      </c>
      <c r="AE12" s="52">
        <v>10</v>
      </c>
      <c r="AF12" s="52">
        <v>11</v>
      </c>
      <c r="AG12" s="52">
        <v>12</v>
      </c>
      <c r="AH12" s="52">
        <v>13</v>
      </c>
      <c r="AI12" s="52">
        <v>14</v>
      </c>
      <c r="AJ12" s="52">
        <v>15</v>
      </c>
      <c r="AK12" s="52">
        <v>16</v>
      </c>
      <c r="AL12" s="52">
        <v>17</v>
      </c>
      <c r="AM12" s="52">
        <v>18</v>
      </c>
      <c r="AN12" s="52">
        <v>19</v>
      </c>
      <c r="AO12" s="52">
        <v>20</v>
      </c>
      <c r="AP12" s="52">
        <v>21</v>
      </c>
      <c r="AQ12" s="52">
        <v>22</v>
      </c>
      <c r="AR12" s="52">
        <v>23</v>
      </c>
      <c r="AS12" s="52">
        <v>24</v>
      </c>
      <c r="AT12" s="52">
        <v>25</v>
      </c>
      <c r="AU12" s="52">
        <v>26</v>
      </c>
      <c r="AV12" s="52">
        <v>27</v>
      </c>
      <c r="AW12" s="52">
        <v>28</v>
      </c>
      <c r="AX12" s="52">
        <v>29</v>
      </c>
      <c r="AY12" s="52">
        <v>30</v>
      </c>
      <c r="AZ12" s="88"/>
    </row>
    <row r="13" spans="1:52" ht="3.75" customHeight="1" thickTop="1" thickBot="1" x14ac:dyDescent="0.3"/>
    <row r="14" spans="1:52" s="11" customFormat="1" ht="17.100000000000001" customHeight="1" thickBot="1" x14ac:dyDescent="0.3">
      <c r="A14" s="70">
        <v>1</v>
      </c>
      <c r="B14" s="73" t="s">
        <v>3</v>
      </c>
      <c r="C14" s="73"/>
      <c r="D14" s="72"/>
      <c r="E14" s="72"/>
      <c r="G14" s="70">
        <v>22</v>
      </c>
      <c r="H14" s="73" t="s">
        <v>52</v>
      </c>
      <c r="I14" s="73"/>
      <c r="J14" s="72">
        <v>50</v>
      </c>
      <c r="K14" s="72">
        <v>70</v>
      </c>
      <c r="M14" s="70">
        <v>30</v>
      </c>
      <c r="N14" s="73" t="s">
        <v>101</v>
      </c>
      <c r="O14" s="73"/>
      <c r="P14" s="70">
        <v>90</v>
      </c>
      <c r="Q14" s="70">
        <v>70</v>
      </c>
      <c r="T14" s="56"/>
      <c r="U14" s="34" t="s">
        <v>151</v>
      </c>
      <c r="V14" s="52">
        <f>D14</f>
        <v>0</v>
      </c>
      <c r="W14" s="52">
        <f>D16</f>
        <v>0</v>
      </c>
      <c r="X14" s="52">
        <f>D17</f>
        <v>0</v>
      </c>
      <c r="Y14" s="52">
        <f>D19</f>
        <v>0</v>
      </c>
      <c r="Z14" s="52">
        <f>D21</f>
        <v>0</v>
      </c>
      <c r="AA14" s="52">
        <f>D22</f>
        <v>0</v>
      </c>
      <c r="AB14" s="52">
        <f>D24</f>
        <v>0</v>
      </c>
      <c r="AC14" s="52">
        <f>D26</f>
        <v>0</v>
      </c>
      <c r="AD14" s="52">
        <f>D28</f>
        <v>0</v>
      </c>
      <c r="AE14" s="52">
        <f>D30</f>
        <v>0</v>
      </c>
      <c r="AF14" s="52">
        <f>D32</f>
        <v>0</v>
      </c>
      <c r="AG14" s="52">
        <f>D35</f>
        <v>0</v>
      </c>
      <c r="AH14" s="52">
        <f>D37</f>
        <v>0</v>
      </c>
      <c r="AI14" s="52">
        <f>D40</f>
        <v>0</v>
      </c>
      <c r="AJ14" s="52">
        <f>D42</f>
        <v>0</v>
      </c>
      <c r="AK14" s="52">
        <f>D44</f>
        <v>0</v>
      </c>
      <c r="AL14" s="52">
        <f>D47</f>
        <v>0</v>
      </c>
      <c r="AM14" s="52">
        <f>D49</f>
        <v>0</v>
      </c>
      <c r="AN14" s="52">
        <f>D52</f>
        <v>0</v>
      </c>
      <c r="AO14" s="52">
        <f>D55</f>
        <v>0</v>
      </c>
      <c r="AP14" s="52">
        <f>D58</f>
        <v>0</v>
      </c>
      <c r="AQ14" s="52">
        <f>J14</f>
        <v>50</v>
      </c>
      <c r="AR14" s="52">
        <f>J18</f>
        <v>57</v>
      </c>
      <c r="AS14" s="52">
        <f>J22</f>
        <v>70</v>
      </c>
      <c r="AT14" s="52">
        <f>J25</f>
        <v>67</v>
      </c>
      <c r="AU14" s="52">
        <f>J30</f>
        <v>86</v>
      </c>
      <c r="AV14" s="52">
        <f>J36</f>
        <v>90</v>
      </c>
      <c r="AW14" s="52">
        <f>J43</f>
        <v>73</v>
      </c>
      <c r="AX14" s="52">
        <f>J52</f>
        <v>90</v>
      </c>
      <c r="AY14" s="52">
        <f>P14</f>
        <v>90</v>
      </c>
      <c r="AZ14" s="35">
        <f>AVERAGEIF(V14:AY14,"&gt;0")</f>
        <v>74.777777777777771</v>
      </c>
    </row>
    <row r="15" spans="1:52" s="11" customFormat="1" ht="17.100000000000001" customHeight="1" thickBot="1" x14ac:dyDescent="0.3">
      <c r="A15" s="70"/>
      <c r="B15" s="73" t="s">
        <v>4</v>
      </c>
      <c r="C15" s="73"/>
      <c r="D15" s="72"/>
      <c r="E15" s="72"/>
      <c r="G15" s="70"/>
      <c r="H15" s="93" t="s">
        <v>53</v>
      </c>
      <c r="I15" s="93"/>
      <c r="J15" s="72"/>
      <c r="K15" s="72"/>
      <c r="M15" s="70"/>
      <c r="N15" s="73" t="s">
        <v>102</v>
      </c>
      <c r="O15" s="73"/>
      <c r="P15" s="70"/>
      <c r="Q15" s="70"/>
      <c r="T15" s="56"/>
      <c r="U15" s="34" t="s">
        <v>152</v>
      </c>
      <c r="V15" s="52">
        <f>E14</f>
        <v>0</v>
      </c>
      <c r="W15" s="52">
        <f>E16</f>
        <v>0</v>
      </c>
      <c r="X15" s="52">
        <f>E17</f>
        <v>0</v>
      </c>
      <c r="Y15" s="52">
        <f>E19</f>
        <v>0</v>
      </c>
      <c r="Z15" s="52">
        <f>E21</f>
        <v>0</v>
      </c>
      <c r="AA15" s="52">
        <f>E22</f>
        <v>0</v>
      </c>
      <c r="AB15" s="52">
        <f>E24</f>
        <v>0</v>
      </c>
      <c r="AC15" s="52">
        <f>E26</f>
        <v>0</v>
      </c>
      <c r="AD15" s="52">
        <f>E28</f>
        <v>0</v>
      </c>
      <c r="AE15" s="52">
        <f>E30</f>
        <v>0</v>
      </c>
      <c r="AF15" s="52">
        <f>E32</f>
        <v>0</v>
      </c>
      <c r="AG15" s="52">
        <f>E35</f>
        <v>0</v>
      </c>
      <c r="AH15" s="52">
        <f>E37</f>
        <v>0</v>
      </c>
      <c r="AI15" s="52">
        <f>E40</f>
        <v>0</v>
      </c>
      <c r="AJ15" s="52">
        <f>E42</f>
        <v>0</v>
      </c>
      <c r="AK15" s="52">
        <f>E44</f>
        <v>0</v>
      </c>
      <c r="AL15" s="52">
        <f>E47</f>
        <v>0</v>
      </c>
      <c r="AM15" s="52">
        <f>E49</f>
        <v>0</v>
      </c>
      <c r="AN15" s="52">
        <f>E52</f>
        <v>0</v>
      </c>
      <c r="AO15" s="52">
        <f>E55</f>
        <v>0</v>
      </c>
      <c r="AP15" s="52">
        <f>E58</f>
        <v>0</v>
      </c>
      <c r="AQ15" s="52">
        <f>K14</f>
        <v>70</v>
      </c>
      <c r="AR15" s="52">
        <f>K18</f>
        <v>60</v>
      </c>
      <c r="AS15" s="52">
        <f>K22</f>
        <v>70</v>
      </c>
      <c r="AT15" s="52">
        <f>K25</f>
        <v>70</v>
      </c>
      <c r="AU15" s="52">
        <f>K30</f>
        <v>70</v>
      </c>
      <c r="AV15" s="52">
        <f>K36</f>
        <v>70</v>
      </c>
      <c r="AW15" s="52">
        <f>K43</f>
        <v>70</v>
      </c>
      <c r="AX15" s="52">
        <f>K52</f>
        <v>70</v>
      </c>
      <c r="AY15" s="52">
        <f>Q14</f>
        <v>70</v>
      </c>
      <c r="AZ15" s="35">
        <f>AVERAGEIF(V15:AY15,"&lt;&gt;0")</f>
        <v>68.888888888888886</v>
      </c>
    </row>
    <row r="16" spans="1:52" s="11" customFormat="1" ht="17.100000000000001" customHeight="1" thickBot="1" x14ac:dyDescent="0.3">
      <c r="A16" s="55">
        <v>2</v>
      </c>
      <c r="B16" s="73" t="s">
        <v>6</v>
      </c>
      <c r="C16" s="73"/>
      <c r="D16" s="54"/>
      <c r="E16" s="54"/>
      <c r="G16" s="70"/>
      <c r="H16" s="93" t="s">
        <v>54</v>
      </c>
      <c r="I16" s="93"/>
      <c r="J16" s="72"/>
      <c r="K16" s="72"/>
      <c r="M16" s="70"/>
      <c r="N16" s="73" t="s">
        <v>103</v>
      </c>
      <c r="O16" s="73"/>
      <c r="P16" s="70"/>
      <c r="Q16" s="70"/>
      <c r="T16" s="56"/>
      <c r="U16" s="32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s="11" customFormat="1" ht="17.100000000000001" customHeight="1" thickBot="1" x14ac:dyDescent="0.3">
      <c r="A17" s="70">
        <v>3</v>
      </c>
      <c r="B17" s="73" t="s">
        <v>5</v>
      </c>
      <c r="C17" s="73"/>
      <c r="D17" s="72"/>
      <c r="E17" s="72"/>
      <c r="G17" s="70"/>
      <c r="H17" s="93" t="s">
        <v>55</v>
      </c>
      <c r="I17" s="93"/>
      <c r="J17" s="72"/>
      <c r="K17" s="72"/>
      <c r="M17" s="70"/>
      <c r="N17" s="73" t="s">
        <v>104</v>
      </c>
      <c r="O17" s="73"/>
      <c r="P17" s="70"/>
      <c r="Q17" s="70"/>
      <c r="T17" s="56"/>
      <c r="U17" s="32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</row>
    <row r="18" spans="1:52" s="11" customFormat="1" ht="17.100000000000001" customHeight="1" thickBot="1" x14ac:dyDescent="0.3">
      <c r="A18" s="70"/>
      <c r="B18" s="73" t="s">
        <v>7</v>
      </c>
      <c r="C18" s="73"/>
      <c r="D18" s="72"/>
      <c r="E18" s="72"/>
      <c r="G18" s="70">
        <v>23</v>
      </c>
      <c r="H18" s="73" t="s">
        <v>56</v>
      </c>
      <c r="I18" s="73"/>
      <c r="J18" s="70">
        <v>57</v>
      </c>
      <c r="K18" s="70">
        <v>60</v>
      </c>
      <c r="M18" s="70"/>
      <c r="N18" s="73" t="s">
        <v>105</v>
      </c>
      <c r="O18" s="73"/>
      <c r="P18" s="70"/>
      <c r="Q18" s="70"/>
      <c r="T18" s="56"/>
      <c r="U18" s="32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</row>
    <row r="19" spans="1:52" s="11" customFormat="1" ht="17.100000000000001" customHeight="1" thickBot="1" x14ac:dyDescent="0.3">
      <c r="A19" s="70">
        <v>4</v>
      </c>
      <c r="B19" s="73" t="s">
        <v>8</v>
      </c>
      <c r="C19" s="73"/>
      <c r="D19" s="72"/>
      <c r="E19" s="70"/>
      <c r="G19" s="70"/>
      <c r="H19" s="93" t="s">
        <v>57</v>
      </c>
      <c r="I19" s="93"/>
      <c r="J19" s="70"/>
      <c r="K19" s="70"/>
      <c r="M19" s="70"/>
      <c r="N19" s="73" t="s">
        <v>106</v>
      </c>
      <c r="O19" s="73"/>
      <c r="P19" s="70"/>
      <c r="Q19" s="70"/>
      <c r="T19" s="56"/>
      <c r="U19" s="32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</row>
    <row r="20" spans="1:52" s="11" customFormat="1" ht="17.100000000000001" customHeight="1" thickBot="1" x14ac:dyDescent="0.3">
      <c r="A20" s="70"/>
      <c r="B20" s="73" t="s">
        <v>9</v>
      </c>
      <c r="C20" s="73"/>
      <c r="D20" s="72"/>
      <c r="E20" s="70"/>
      <c r="G20" s="70"/>
      <c r="H20" s="93" t="s">
        <v>58</v>
      </c>
      <c r="I20" s="93"/>
      <c r="J20" s="70"/>
      <c r="K20" s="70"/>
      <c r="M20" s="70"/>
      <c r="N20" s="73" t="s">
        <v>107</v>
      </c>
      <c r="O20" s="73"/>
      <c r="P20" s="70"/>
      <c r="Q20" s="70"/>
      <c r="T20" s="56"/>
      <c r="U20" s="32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</row>
    <row r="21" spans="1:52" s="11" customFormat="1" ht="17.100000000000001" customHeight="1" thickBot="1" x14ac:dyDescent="0.3">
      <c r="A21" s="55">
        <v>5</v>
      </c>
      <c r="B21" s="73" t="s">
        <v>10</v>
      </c>
      <c r="C21" s="73"/>
      <c r="D21" s="54"/>
      <c r="E21" s="54"/>
      <c r="G21" s="70"/>
      <c r="H21" s="73" t="s">
        <v>59</v>
      </c>
      <c r="I21" s="73"/>
      <c r="J21" s="70"/>
      <c r="K21" s="70"/>
      <c r="M21" s="70"/>
      <c r="N21" s="73" t="s">
        <v>108</v>
      </c>
      <c r="O21" s="73"/>
      <c r="P21" s="70"/>
      <c r="Q21" s="70"/>
      <c r="T21" s="56"/>
      <c r="U21" s="32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</row>
    <row r="22" spans="1:52" s="11" customFormat="1" ht="17.100000000000001" customHeight="1" thickBot="1" x14ac:dyDescent="0.3">
      <c r="A22" s="70">
        <v>6</v>
      </c>
      <c r="B22" s="73" t="s">
        <v>11</v>
      </c>
      <c r="C22" s="73"/>
      <c r="D22" s="72"/>
      <c r="E22" s="70"/>
      <c r="G22" s="70">
        <v>24</v>
      </c>
      <c r="H22" s="73" t="s">
        <v>60</v>
      </c>
      <c r="I22" s="73"/>
      <c r="J22" s="70">
        <v>70</v>
      </c>
      <c r="K22" s="70">
        <v>70</v>
      </c>
      <c r="M22" s="70"/>
      <c r="N22" s="73" t="s">
        <v>109</v>
      </c>
      <c r="O22" s="73"/>
      <c r="P22" s="70"/>
      <c r="Q22" s="70"/>
      <c r="T22" s="56"/>
      <c r="U22" s="32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</row>
    <row r="23" spans="1:52" s="11" customFormat="1" ht="17.100000000000001" customHeight="1" thickBot="1" x14ac:dyDescent="0.3">
      <c r="A23" s="70"/>
      <c r="B23" s="73" t="s">
        <v>12</v>
      </c>
      <c r="C23" s="73"/>
      <c r="D23" s="72"/>
      <c r="E23" s="70"/>
      <c r="G23" s="70"/>
      <c r="H23" s="93" t="s">
        <v>61</v>
      </c>
      <c r="I23" s="93"/>
      <c r="J23" s="70"/>
      <c r="K23" s="70"/>
      <c r="M23" s="70"/>
      <c r="N23" s="73" t="s">
        <v>110</v>
      </c>
      <c r="O23" s="73"/>
      <c r="P23" s="70"/>
      <c r="Q23" s="70"/>
      <c r="T23" s="56"/>
      <c r="U23" s="32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</row>
    <row r="24" spans="1:52" s="11" customFormat="1" ht="17.100000000000001" customHeight="1" thickBot="1" x14ac:dyDescent="0.3">
      <c r="A24" s="70">
        <v>7</v>
      </c>
      <c r="B24" s="73" t="s">
        <v>13</v>
      </c>
      <c r="C24" s="73"/>
      <c r="D24" s="70"/>
      <c r="E24" s="70"/>
      <c r="G24" s="70"/>
      <c r="H24" s="73" t="s">
        <v>62</v>
      </c>
      <c r="I24" s="73"/>
      <c r="J24" s="70"/>
      <c r="K24" s="70"/>
      <c r="M24" s="70"/>
      <c r="N24" s="73" t="s">
        <v>111</v>
      </c>
      <c r="O24" s="73"/>
      <c r="P24" s="70"/>
      <c r="Q24" s="70"/>
      <c r="T24" s="56"/>
      <c r="U24" s="32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</row>
    <row r="25" spans="1:52" s="11" customFormat="1" ht="17.100000000000001" customHeight="1" thickBot="1" x14ac:dyDescent="0.3">
      <c r="A25" s="70"/>
      <c r="B25" s="73" t="s">
        <v>14</v>
      </c>
      <c r="C25" s="73"/>
      <c r="D25" s="70"/>
      <c r="E25" s="70"/>
      <c r="G25" s="70">
        <v>25</v>
      </c>
      <c r="H25" s="73" t="s">
        <v>63</v>
      </c>
      <c r="I25" s="73"/>
      <c r="J25" s="70">
        <v>67</v>
      </c>
      <c r="K25" s="70">
        <v>70</v>
      </c>
      <c r="M25" s="70"/>
      <c r="N25" s="73" t="s">
        <v>112</v>
      </c>
      <c r="O25" s="73"/>
      <c r="P25" s="70"/>
      <c r="Q25" s="70"/>
      <c r="T25" s="56"/>
      <c r="U25" s="32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</row>
    <row r="26" spans="1:52" s="11" customFormat="1" ht="17.100000000000001" customHeight="1" thickBot="1" x14ac:dyDescent="0.3">
      <c r="A26" s="70">
        <v>8</v>
      </c>
      <c r="B26" s="73" t="s">
        <v>15</v>
      </c>
      <c r="C26" s="73"/>
      <c r="D26" s="70"/>
      <c r="E26" s="70"/>
      <c r="G26" s="70"/>
      <c r="H26" s="73" t="s">
        <v>64</v>
      </c>
      <c r="I26" s="73"/>
      <c r="J26" s="70"/>
      <c r="K26" s="70"/>
      <c r="M26" s="70"/>
      <c r="N26" s="73" t="s">
        <v>113</v>
      </c>
      <c r="O26" s="73"/>
      <c r="P26" s="70"/>
      <c r="Q26" s="70"/>
      <c r="T26" s="56"/>
      <c r="U26" s="32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</row>
    <row r="27" spans="1:52" s="11" customFormat="1" ht="17.100000000000001" customHeight="1" thickBot="1" x14ac:dyDescent="0.3">
      <c r="A27" s="70"/>
      <c r="B27" s="73" t="s">
        <v>16</v>
      </c>
      <c r="C27" s="73"/>
      <c r="D27" s="70"/>
      <c r="E27" s="70"/>
      <c r="G27" s="70"/>
      <c r="H27" s="93" t="s">
        <v>65</v>
      </c>
      <c r="I27" s="93"/>
      <c r="J27" s="70"/>
      <c r="K27" s="70"/>
      <c r="M27" s="70"/>
      <c r="N27" s="73" t="s">
        <v>114</v>
      </c>
      <c r="O27" s="73"/>
      <c r="P27" s="70"/>
      <c r="Q27" s="70"/>
      <c r="T27" s="56"/>
      <c r="U27" s="32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</row>
    <row r="28" spans="1:52" s="11" customFormat="1" ht="17.100000000000001" customHeight="1" thickBot="1" x14ac:dyDescent="0.3">
      <c r="A28" s="70">
        <v>9</v>
      </c>
      <c r="B28" s="73" t="s">
        <v>17</v>
      </c>
      <c r="C28" s="73"/>
      <c r="D28" s="70"/>
      <c r="E28" s="70"/>
      <c r="G28" s="70"/>
      <c r="H28" s="73" t="s">
        <v>66</v>
      </c>
      <c r="I28" s="73"/>
      <c r="J28" s="70"/>
      <c r="K28" s="70"/>
      <c r="M28" s="70"/>
      <c r="N28" s="73" t="s">
        <v>115</v>
      </c>
      <c r="O28" s="73"/>
      <c r="P28" s="70"/>
      <c r="Q28" s="70"/>
      <c r="T28" s="56"/>
      <c r="U28" s="32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</row>
    <row r="29" spans="1:52" s="11" customFormat="1" ht="17.100000000000001" customHeight="1" thickBot="1" x14ac:dyDescent="0.3">
      <c r="A29" s="70"/>
      <c r="B29" s="73" t="s">
        <v>18</v>
      </c>
      <c r="C29" s="73"/>
      <c r="D29" s="70"/>
      <c r="E29" s="70"/>
      <c r="G29" s="70"/>
      <c r="H29" s="73" t="s">
        <v>67</v>
      </c>
      <c r="I29" s="73"/>
      <c r="J29" s="70"/>
      <c r="K29" s="70"/>
      <c r="M29" s="70"/>
      <c r="N29" s="73" t="s">
        <v>116</v>
      </c>
      <c r="O29" s="73"/>
      <c r="P29" s="70"/>
      <c r="Q29" s="70"/>
      <c r="T29" s="56"/>
      <c r="U29" s="32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</row>
    <row r="30" spans="1:52" s="11" customFormat="1" ht="17.100000000000001" customHeight="1" thickBot="1" x14ac:dyDescent="0.3">
      <c r="A30" s="70">
        <v>10</v>
      </c>
      <c r="B30" s="73" t="s">
        <v>19</v>
      </c>
      <c r="C30" s="73"/>
      <c r="D30" s="70"/>
      <c r="E30" s="70"/>
      <c r="G30" s="70">
        <v>26</v>
      </c>
      <c r="H30" s="73" t="s">
        <v>68</v>
      </c>
      <c r="I30" s="73"/>
      <c r="J30" s="70">
        <v>86</v>
      </c>
      <c r="K30" s="70">
        <v>70</v>
      </c>
      <c r="M30" s="70"/>
      <c r="N30" s="73" t="s">
        <v>117</v>
      </c>
      <c r="O30" s="73"/>
      <c r="P30" s="70"/>
      <c r="Q30" s="70"/>
      <c r="T30" s="56"/>
      <c r="U30" s="32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52" s="11" customFormat="1" ht="17.100000000000001" customHeight="1" thickBot="1" x14ac:dyDescent="0.3">
      <c r="A31" s="70"/>
      <c r="B31" s="73" t="s">
        <v>20</v>
      </c>
      <c r="C31" s="73"/>
      <c r="D31" s="70"/>
      <c r="E31" s="70"/>
      <c r="G31" s="70"/>
      <c r="H31" s="73" t="s">
        <v>69</v>
      </c>
      <c r="I31" s="73"/>
      <c r="J31" s="70"/>
      <c r="K31" s="70"/>
      <c r="M31" s="70"/>
      <c r="N31" s="73" t="s">
        <v>118</v>
      </c>
      <c r="O31" s="73"/>
      <c r="P31" s="70"/>
      <c r="Q31" s="70"/>
      <c r="T31" s="56"/>
      <c r="U31" s="32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52" s="11" customFormat="1" ht="17.100000000000001" customHeight="1" thickBot="1" x14ac:dyDescent="0.3">
      <c r="A32" s="70">
        <v>11</v>
      </c>
      <c r="B32" s="73" t="s">
        <v>21</v>
      </c>
      <c r="C32" s="73"/>
      <c r="D32" s="72"/>
      <c r="E32" s="72"/>
      <c r="G32" s="70"/>
      <c r="H32" s="73" t="s">
        <v>70</v>
      </c>
      <c r="I32" s="73"/>
      <c r="J32" s="70"/>
      <c r="K32" s="70"/>
      <c r="M32" s="70"/>
      <c r="N32" s="73" t="s">
        <v>119</v>
      </c>
      <c r="O32" s="73"/>
      <c r="P32" s="70"/>
      <c r="Q32" s="70"/>
      <c r="T32" s="56"/>
      <c r="U32" s="32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 spans="1:52" s="11" customFormat="1" ht="17.100000000000001" customHeight="1" thickBot="1" x14ac:dyDescent="0.3">
      <c r="A33" s="70"/>
      <c r="B33" s="73" t="s">
        <v>22</v>
      </c>
      <c r="C33" s="73"/>
      <c r="D33" s="72"/>
      <c r="E33" s="72"/>
      <c r="G33" s="70"/>
      <c r="H33" s="73" t="s">
        <v>71</v>
      </c>
      <c r="I33" s="73"/>
      <c r="J33" s="70"/>
      <c r="K33" s="70"/>
      <c r="M33" s="70"/>
      <c r="N33" s="73" t="s">
        <v>120</v>
      </c>
      <c r="O33" s="73"/>
      <c r="P33" s="70"/>
      <c r="Q33" s="70"/>
      <c r="T33" s="56"/>
      <c r="U33" s="32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 spans="1:52" s="11" customFormat="1" ht="17.100000000000001" customHeight="1" thickBot="1" x14ac:dyDescent="0.3">
      <c r="A34" s="70"/>
      <c r="B34" s="73" t="s">
        <v>23</v>
      </c>
      <c r="C34" s="73"/>
      <c r="D34" s="72"/>
      <c r="E34" s="72"/>
      <c r="G34" s="70"/>
      <c r="H34" s="73" t="s">
        <v>72</v>
      </c>
      <c r="I34" s="73"/>
      <c r="J34" s="70"/>
      <c r="K34" s="70"/>
      <c r="M34" s="70"/>
      <c r="N34" s="73" t="s">
        <v>121</v>
      </c>
      <c r="O34" s="73"/>
      <c r="P34" s="70"/>
      <c r="Q34" s="70"/>
      <c r="T34" s="56"/>
      <c r="U34" s="32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</row>
    <row r="35" spans="1:52" s="11" customFormat="1" ht="17.100000000000001" customHeight="1" thickBot="1" x14ac:dyDescent="0.3">
      <c r="A35" s="70">
        <v>12</v>
      </c>
      <c r="B35" s="73" t="s">
        <v>24</v>
      </c>
      <c r="C35" s="73"/>
      <c r="D35" s="70"/>
      <c r="E35" s="70"/>
      <c r="G35" s="70"/>
      <c r="H35" s="73" t="s">
        <v>73</v>
      </c>
      <c r="I35" s="73"/>
      <c r="J35" s="70"/>
      <c r="K35" s="70"/>
      <c r="M35" s="70"/>
      <c r="N35" s="73" t="s">
        <v>122</v>
      </c>
      <c r="O35" s="73"/>
      <c r="P35" s="70"/>
      <c r="Q35" s="70"/>
      <c r="T35" s="56"/>
      <c r="U35" s="32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</row>
    <row r="36" spans="1:52" s="11" customFormat="1" ht="17.100000000000001" customHeight="1" thickBot="1" x14ac:dyDescent="0.3">
      <c r="A36" s="70"/>
      <c r="B36" s="73" t="s">
        <v>25</v>
      </c>
      <c r="C36" s="73"/>
      <c r="D36" s="70"/>
      <c r="E36" s="70"/>
      <c r="G36" s="70">
        <v>27</v>
      </c>
      <c r="H36" s="73" t="s">
        <v>74</v>
      </c>
      <c r="I36" s="73"/>
      <c r="J36" s="70">
        <v>90</v>
      </c>
      <c r="K36" s="70">
        <v>70</v>
      </c>
      <c r="M36" s="70"/>
      <c r="N36" s="73" t="s">
        <v>123</v>
      </c>
      <c r="O36" s="73"/>
      <c r="P36" s="70"/>
      <c r="Q36" s="70"/>
      <c r="T36" s="56"/>
      <c r="U36" s="32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</row>
    <row r="37" spans="1:52" s="11" customFormat="1" ht="17.100000000000001" customHeight="1" thickBot="1" x14ac:dyDescent="0.3">
      <c r="A37" s="70">
        <v>13</v>
      </c>
      <c r="B37" s="73" t="s">
        <v>26</v>
      </c>
      <c r="C37" s="73"/>
      <c r="D37" s="72"/>
      <c r="E37" s="72"/>
      <c r="G37" s="70"/>
      <c r="H37" s="73" t="s">
        <v>75</v>
      </c>
      <c r="I37" s="73"/>
      <c r="J37" s="70"/>
      <c r="K37" s="70"/>
      <c r="M37" s="70"/>
      <c r="N37" s="73" t="s">
        <v>124</v>
      </c>
      <c r="O37" s="73"/>
      <c r="P37" s="70"/>
      <c r="Q37" s="70"/>
      <c r="T37" s="56"/>
      <c r="U37" s="32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</row>
    <row r="38" spans="1:52" s="11" customFormat="1" ht="17.100000000000001" customHeight="1" thickBot="1" x14ac:dyDescent="0.3">
      <c r="A38" s="70"/>
      <c r="B38" s="73" t="s">
        <v>27</v>
      </c>
      <c r="C38" s="73"/>
      <c r="D38" s="72"/>
      <c r="E38" s="72"/>
      <c r="G38" s="70"/>
      <c r="H38" s="73" t="s">
        <v>76</v>
      </c>
      <c r="I38" s="73"/>
      <c r="J38" s="70"/>
      <c r="K38" s="70"/>
      <c r="M38" s="70"/>
      <c r="N38" s="73" t="s">
        <v>125</v>
      </c>
      <c r="O38" s="73"/>
      <c r="P38" s="70"/>
      <c r="Q38" s="70"/>
      <c r="T38" s="56"/>
      <c r="U38" s="32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</row>
    <row r="39" spans="1:52" s="11" customFormat="1" ht="17.100000000000001" customHeight="1" thickBot="1" x14ac:dyDescent="0.3">
      <c r="A39" s="70"/>
      <c r="B39" s="73" t="s">
        <v>28</v>
      </c>
      <c r="C39" s="73"/>
      <c r="D39" s="72"/>
      <c r="E39" s="72"/>
      <c r="G39" s="70"/>
      <c r="H39" s="73" t="s">
        <v>77</v>
      </c>
      <c r="I39" s="73"/>
      <c r="J39" s="70"/>
      <c r="K39" s="70"/>
      <c r="M39" s="70"/>
      <c r="N39" s="73" t="s">
        <v>126</v>
      </c>
      <c r="O39" s="73"/>
      <c r="P39" s="70"/>
      <c r="Q39" s="70"/>
      <c r="T39" s="56"/>
      <c r="U39" s="32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 spans="1:52" s="11" customFormat="1" ht="17.100000000000001" customHeight="1" thickBot="1" x14ac:dyDescent="0.3">
      <c r="A40" s="70">
        <v>14</v>
      </c>
      <c r="B40" s="73" t="s">
        <v>29</v>
      </c>
      <c r="C40" s="73"/>
      <c r="D40" s="70"/>
      <c r="E40" s="70"/>
      <c r="G40" s="70"/>
      <c r="H40" s="73" t="s">
        <v>78</v>
      </c>
      <c r="I40" s="73"/>
      <c r="J40" s="70"/>
      <c r="K40" s="70"/>
      <c r="M40" s="70"/>
      <c r="N40" s="73" t="s">
        <v>127</v>
      </c>
      <c r="O40" s="73"/>
      <c r="P40" s="70"/>
      <c r="Q40" s="70"/>
      <c r="T40" s="56"/>
      <c r="U40" s="32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</row>
    <row r="41" spans="1:52" s="11" customFormat="1" ht="17.100000000000001" customHeight="1" thickBot="1" x14ac:dyDescent="0.3">
      <c r="A41" s="70"/>
      <c r="B41" s="73" t="s">
        <v>30</v>
      </c>
      <c r="C41" s="73"/>
      <c r="D41" s="70"/>
      <c r="E41" s="70"/>
      <c r="G41" s="70"/>
      <c r="H41" s="73" t="s">
        <v>79</v>
      </c>
      <c r="I41" s="73"/>
      <c r="J41" s="70"/>
      <c r="K41" s="70"/>
      <c r="M41" s="70"/>
      <c r="N41" s="73" t="s">
        <v>128</v>
      </c>
      <c r="O41" s="73"/>
      <c r="P41" s="70"/>
      <c r="Q41" s="70"/>
      <c r="T41" s="56"/>
      <c r="U41" s="32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  <row r="42" spans="1:52" s="11" customFormat="1" ht="17.100000000000001" customHeight="1" thickBot="1" x14ac:dyDescent="0.3">
      <c r="A42" s="70">
        <v>15</v>
      </c>
      <c r="B42" s="73" t="s">
        <v>31</v>
      </c>
      <c r="C42" s="73"/>
      <c r="D42" s="70"/>
      <c r="E42" s="70"/>
      <c r="G42" s="70"/>
      <c r="H42" s="73" t="s">
        <v>80</v>
      </c>
      <c r="I42" s="73"/>
      <c r="J42" s="70"/>
      <c r="K42" s="70"/>
      <c r="M42" s="70"/>
      <c r="N42" s="73" t="s">
        <v>129</v>
      </c>
      <c r="O42" s="73"/>
      <c r="P42" s="70"/>
      <c r="Q42" s="70"/>
      <c r="T42" s="56"/>
      <c r="U42" s="32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</row>
    <row r="43" spans="1:52" s="11" customFormat="1" ht="17.100000000000001" customHeight="1" thickBot="1" x14ac:dyDescent="0.3">
      <c r="A43" s="70"/>
      <c r="B43" s="73" t="s">
        <v>32</v>
      </c>
      <c r="C43" s="73"/>
      <c r="D43" s="70"/>
      <c r="E43" s="70"/>
      <c r="G43" s="70">
        <v>28</v>
      </c>
      <c r="H43" s="73" t="s">
        <v>81</v>
      </c>
      <c r="I43" s="73"/>
      <c r="J43" s="70">
        <v>73</v>
      </c>
      <c r="K43" s="70">
        <v>70</v>
      </c>
      <c r="M43" s="70"/>
      <c r="N43" s="73" t="s">
        <v>130</v>
      </c>
      <c r="O43" s="73"/>
      <c r="P43" s="70"/>
      <c r="Q43" s="70"/>
      <c r="T43" s="56"/>
      <c r="U43" s="32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</row>
    <row r="44" spans="1:52" s="11" customFormat="1" ht="17.100000000000001" customHeight="1" thickBot="1" x14ac:dyDescent="0.3">
      <c r="A44" s="70">
        <v>16</v>
      </c>
      <c r="B44" s="73" t="s">
        <v>33</v>
      </c>
      <c r="C44" s="73"/>
      <c r="D44" s="72"/>
      <c r="E44" s="72"/>
      <c r="G44" s="70"/>
      <c r="H44" s="73" t="s">
        <v>82</v>
      </c>
      <c r="I44" s="73"/>
      <c r="J44" s="70"/>
      <c r="K44" s="70"/>
      <c r="M44" s="70"/>
      <c r="N44" s="73" t="s">
        <v>131</v>
      </c>
      <c r="O44" s="73"/>
      <c r="P44" s="70"/>
      <c r="Q44" s="70"/>
      <c r="T44" s="56"/>
      <c r="U44" s="32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</row>
    <row r="45" spans="1:52" s="11" customFormat="1" ht="17.100000000000001" customHeight="1" thickBot="1" x14ac:dyDescent="0.3">
      <c r="A45" s="70"/>
      <c r="B45" s="73" t="s">
        <v>34</v>
      </c>
      <c r="C45" s="73"/>
      <c r="D45" s="72"/>
      <c r="E45" s="72"/>
      <c r="G45" s="70"/>
      <c r="H45" s="73" t="s">
        <v>83</v>
      </c>
      <c r="I45" s="73"/>
      <c r="J45" s="70"/>
      <c r="K45" s="70"/>
      <c r="M45" s="70"/>
      <c r="N45" s="73" t="s">
        <v>132</v>
      </c>
      <c r="O45" s="73"/>
      <c r="P45" s="70"/>
      <c r="Q45" s="70"/>
      <c r="T45" s="56"/>
      <c r="U45" s="32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</row>
    <row r="46" spans="1:52" s="11" customFormat="1" ht="17.100000000000001" customHeight="1" thickBot="1" x14ac:dyDescent="0.3">
      <c r="A46" s="70"/>
      <c r="B46" s="73" t="s">
        <v>35</v>
      </c>
      <c r="C46" s="73"/>
      <c r="D46" s="72"/>
      <c r="E46" s="72"/>
      <c r="G46" s="70"/>
      <c r="H46" s="73" t="s">
        <v>84</v>
      </c>
      <c r="I46" s="73"/>
      <c r="J46" s="70"/>
      <c r="K46" s="70"/>
      <c r="M46" s="70"/>
      <c r="N46" s="73" t="s">
        <v>133</v>
      </c>
      <c r="O46" s="73"/>
      <c r="P46" s="70"/>
      <c r="Q46" s="70"/>
      <c r="T46" s="56"/>
      <c r="U46" s="32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</row>
    <row r="47" spans="1:52" s="11" customFormat="1" ht="17.100000000000001" customHeight="1" thickBot="1" x14ac:dyDescent="0.3">
      <c r="A47" s="70">
        <v>17</v>
      </c>
      <c r="B47" s="73" t="s">
        <v>36</v>
      </c>
      <c r="C47" s="73"/>
      <c r="D47" s="70"/>
      <c r="E47" s="70"/>
      <c r="G47" s="70"/>
      <c r="H47" s="73" t="s">
        <v>85</v>
      </c>
      <c r="I47" s="73"/>
      <c r="J47" s="70"/>
      <c r="K47" s="70"/>
      <c r="M47" s="70"/>
      <c r="N47" s="73" t="s">
        <v>134</v>
      </c>
      <c r="O47" s="73"/>
      <c r="P47" s="70"/>
      <c r="Q47" s="70"/>
      <c r="T47" s="56"/>
      <c r="U47" s="32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</row>
    <row r="48" spans="1:52" s="11" customFormat="1" ht="17.100000000000001" customHeight="1" thickBot="1" x14ac:dyDescent="0.3">
      <c r="A48" s="70"/>
      <c r="B48" s="73" t="s">
        <v>37</v>
      </c>
      <c r="C48" s="73"/>
      <c r="D48" s="70"/>
      <c r="E48" s="70"/>
      <c r="G48" s="70"/>
      <c r="H48" s="93" t="s">
        <v>86</v>
      </c>
      <c r="I48" s="93"/>
      <c r="J48" s="70"/>
      <c r="K48" s="70"/>
      <c r="M48" s="70"/>
      <c r="N48" s="73" t="s">
        <v>135</v>
      </c>
      <c r="O48" s="73"/>
      <c r="P48" s="70"/>
      <c r="Q48" s="70"/>
      <c r="T48" s="56"/>
      <c r="U48" s="32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</row>
    <row r="49" spans="1:52" s="11" customFormat="1" ht="17.100000000000001" customHeight="1" thickBot="1" x14ac:dyDescent="0.3">
      <c r="A49" s="70">
        <v>18</v>
      </c>
      <c r="B49" s="73" t="s">
        <v>38</v>
      </c>
      <c r="C49" s="73"/>
      <c r="D49" s="72"/>
      <c r="E49" s="72"/>
      <c r="G49" s="70"/>
      <c r="H49" s="93" t="s">
        <v>87</v>
      </c>
      <c r="I49" s="93"/>
      <c r="J49" s="70"/>
      <c r="K49" s="70"/>
      <c r="M49" s="70"/>
      <c r="N49" s="73" t="s">
        <v>136</v>
      </c>
      <c r="O49" s="73"/>
      <c r="P49" s="70"/>
      <c r="Q49" s="70"/>
      <c r="T49" s="56"/>
      <c r="U49" s="32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</row>
    <row r="50" spans="1:52" s="11" customFormat="1" ht="17.100000000000001" customHeight="1" thickBot="1" x14ac:dyDescent="0.3">
      <c r="A50" s="70"/>
      <c r="B50" s="73" t="s">
        <v>39</v>
      </c>
      <c r="C50" s="73"/>
      <c r="D50" s="72"/>
      <c r="E50" s="72"/>
      <c r="G50" s="70"/>
      <c r="H50" s="73" t="s">
        <v>88</v>
      </c>
      <c r="I50" s="73"/>
      <c r="J50" s="70"/>
      <c r="K50" s="70"/>
      <c r="M50" s="71"/>
      <c r="N50" s="84" t="s">
        <v>137</v>
      </c>
      <c r="O50" s="84"/>
      <c r="P50" s="71"/>
      <c r="Q50" s="71"/>
      <c r="T50" s="56"/>
      <c r="U50" s="32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</row>
    <row r="51" spans="1:52" s="11" customFormat="1" ht="17.100000000000001" customHeight="1" thickTop="1" thickBot="1" x14ac:dyDescent="0.3">
      <c r="A51" s="70"/>
      <c r="B51" s="73" t="s">
        <v>41</v>
      </c>
      <c r="C51" s="73"/>
      <c r="D51" s="72"/>
      <c r="E51" s="72"/>
      <c r="G51" s="70"/>
      <c r="H51" s="73" t="s">
        <v>89</v>
      </c>
      <c r="I51" s="73"/>
      <c r="J51" s="70"/>
      <c r="K51" s="70"/>
      <c r="M51" s="74" t="s">
        <v>145</v>
      </c>
      <c r="N51" s="74"/>
      <c r="O51" s="74"/>
      <c r="P51" s="82">
        <f>AZ14</f>
        <v>74.777777777777771</v>
      </c>
      <c r="Q51" s="82">
        <f>AZ15</f>
        <v>68.888888888888886</v>
      </c>
      <c r="T51" s="56"/>
      <c r="U51" s="32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</row>
    <row r="52" spans="1:52" s="11" customFormat="1" ht="17.100000000000001" customHeight="1" thickBot="1" x14ac:dyDescent="0.3">
      <c r="A52" s="70">
        <v>19</v>
      </c>
      <c r="B52" s="73" t="s">
        <v>42</v>
      </c>
      <c r="C52" s="73"/>
      <c r="D52" s="72"/>
      <c r="E52" s="72"/>
      <c r="G52" s="70">
        <v>29</v>
      </c>
      <c r="H52" s="73" t="s">
        <v>90</v>
      </c>
      <c r="I52" s="73"/>
      <c r="J52" s="70">
        <v>90</v>
      </c>
      <c r="K52" s="70">
        <v>70</v>
      </c>
      <c r="M52" s="75"/>
      <c r="N52" s="75"/>
      <c r="O52" s="75"/>
      <c r="P52" s="83"/>
      <c r="Q52" s="83"/>
      <c r="T52" s="56"/>
      <c r="U52" s="32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</row>
    <row r="53" spans="1:52" s="11" customFormat="1" ht="17.100000000000001" customHeight="1" thickBot="1" x14ac:dyDescent="0.3">
      <c r="A53" s="70"/>
      <c r="B53" s="73" t="s">
        <v>40</v>
      </c>
      <c r="C53" s="73"/>
      <c r="D53" s="72"/>
      <c r="E53" s="72"/>
      <c r="G53" s="70"/>
      <c r="H53" s="73" t="s">
        <v>91</v>
      </c>
      <c r="I53" s="73"/>
      <c r="J53" s="70"/>
      <c r="K53" s="70"/>
      <c r="M53" s="39" t="s">
        <v>163</v>
      </c>
      <c r="N53" s="13"/>
      <c r="P53" s="56"/>
      <c r="Q53" s="56"/>
      <c r="T53" s="56"/>
      <c r="U53" s="32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</row>
    <row r="54" spans="1:52" s="11" customFormat="1" ht="17.100000000000001" customHeight="1" thickBot="1" x14ac:dyDescent="0.3">
      <c r="A54" s="70"/>
      <c r="B54" s="73" t="s">
        <v>43</v>
      </c>
      <c r="C54" s="73"/>
      <c r="D54" s="72"/>
      <c r="E54" s="72"/>
      <c r="G54" s="70"/>
      <c r="H54" s="73" t="s">
        <v>92</v>
      </c>
      <c r="I54" s="73"/>
      <c r="J54" s="70"/>
      <c r="K54" s="70"/>
      <c r="M54" s="12"/>
      <c r="N54" s="15"/>
      <c r="P54" s="56"/>
      <c r="Q54" s="56"/>
      <c r="T54" s="56"/>
      <c r="U54" s="32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</row>
    <row r="55" spans="1:52" s="11" customFormat="1" ht="17.100000000000001" customHeight="1" thickBot="1" x14ac:dyDescent="0.45">
      <c r="A55" s="70">
        <v>20</v>
      </c>
      <c r="B55" s="73" t="s">
        <v>44</v>
      </c>
      <c r="C55" s="73"/>
      <c r="D55" s="72"/>
      <c r="E55" s="72"/>
      <c r="G55" s="70"/>
      <c r="H55" s="73" t="s">
        <v>93</v>
      </c>
      <c r="I55" s="73"/>
      <c r="J55" s="70"/>
      <c r="K55" s="70"/>
      <c r="M55" s="85" t="s">
        <v>175</v>
      </c>
      <c r="N55" s="85"/>
      <c r="O55" s="85"/>
      <c r="P55" s="85"/>
      <c r="Q55" s="85"/>
      <c r="T55" s="56"/>
      <c r="U55" s="32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</row>
    <row r="56" spans="1:52" s="11" customFormat="1" ht="17.100000000000001" customHeight="1" thickBot="1" x14ac:dyDescent="0.45">
      <c r="A56" s="70"/>
      <c r="B56" s="73" t="s">
        <v>45</v>
      </c>
      <c r="C56" s="73"/>
      <c r="D56" s="72"/>
      <c r="E56" s="72"/>
      <c r="G56" s="70"/>
      <c r="H56" s="73" t="s">
        <v>94</v>
      </c>
      <c r="I56" s="73"/>
      <c r="J56" s="70"/>
      <c r="K56" s="70"/>
      <c r="M56" s="85" t="s">
        <v>192</v>
      </c>
      <c r="N56" s="85"/>
      <c r="O56" s="85"/>
      <c r="P56" s="85"/>
      <c r="Q56" s="85"/>
      <c r="T56" s="56"/>
      <c r="U56" s="32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</row>
    <row r="57" spans="1:52" s="11" customFormat="1" ht="17.100000000000001" customHeight="1" thickBot="1" x14ac:dyDescent="0.3">
      <c r="A57" s="70"/>
      <c r="B57" s="73" t="s">
        <v>46</v>
      </c>
      <c r="C57" s="73"/>
      <c r="D57" s="72"/>
      <c r="E57" s="72"/>
      <c r="G57" s="70"/>
      <c r="H57" s="73" t="s">
        <v>95</v>
      </c>
      <c r="I57" s="73"/>
      <c r="J57" s="70"/>
      <c r="K57" s="70"/>
      <c r="M57" s="12"/>
      <c r="N57" s="15"/>
      <c r="P57" s="61"/>
      <c r="Q57" s="61"/>
      <c r="T57" s="56"/>
      <c r="U57" s="32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</row>
    <row r="58" spans="1:52" s="11" customFormat="1" ht="17.100000000000001" customHeight="1" thickBot="1" x14ac:dyDescent="0.3">
      <c r="A58" s="70">
        <v>21</v>
      </c>
      <c r="B58" s="73" t="s">
        <v>47</v>
      </c>
      <c r="C58" s="73"/>
      <c r="D58" s="72"/>
      <c r="E58" s="72"/>
      <c r="G58" s="70"/>
      <c r="H58" s="73" t="s">
        <v>96</v>
      </c>
      <c r="I58" s="73"/>
      <c r="J58" s="70"/>
      <c r="K58" s="70"/>
      <c r="M58" s="86" t="s">
        <v>174</v>
      </c>
      <c r="N58" s="86"/>
      <c r="O58" s="86"/>
      <c r="P58" s="86"/>
      <c r="Q58" s="86"/>
      <c r="T58" s="56"/>
      <c r="U58" s="32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</row>
    <row r="59" spans="1:52" s="11" customFormat="1" ht="17.100000000000001" customHeight="1" thickBot="1" x14ac:dyDescent="0.3">
      <c r="A59" s="70"/>
      <c r="B59" s="73" t="s">
        <v>48</v>
      </c>
      <c r="C59" s="73"/>
      <c r="D59" s="72"/>
      <c r="E59" s="72"/>
      <c r="G59" s="70"/>
      <c r="H59" s="73" t="s">
        <v>97</v>
      </c>
      <c r="I59" s="73"/>
      <c r="J59" s="70"/>
      <c r="K59" s="70"/>
      <c r="M59" s="86"/>
      <c r="N59" s="86"/>
      <c r="O59" s="86"/>
      <c r="P59" s="86"/>
      <c r="Q59" s="86"/>
      <c r="T59" s="56"/>
      <c r="U59" s="32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</row>
    <row r="60" spans="1:52" s="11" customFormat="1" ht="17.100000000000001" customHeight="1" thickBot="1" x14ac:dyDescent="0.3">
      <c r="A60" s="70"/>
      <c r="B60" s="73" t="s">
        <v>49</v>
      </c>
      <c r="C60" s="73"/>
      <c r="D60" s="72"/>
      <c r="E60" s="72"/>
      <c r="G60" s="70"/>
      <c r="H60" s="73" t="s">
        <v>98</v>
      </c>
      <c r="I60" s="73"/>
      <c r="J60" s="70"/>
      <c r="K60" s="70"/>
      <c r="M60" s="68"/>
      <c r="N60" s="69"/>
      <c r="O60" s="69"/>
      <c r="P60" s="68"/>
      <c r="Q60" s="68"/>
      <c r="T60" s="56"/>
      <c r="U60" s="32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</row>
    <row r="61" spans="1:52" s="11" customFormat="1" ht="17.100000000000001" customHeight="1" thickBot="1" x14ac:dyDescent="0.3">
      <c r="A61" s="70"/>
      <c r="B61" s="73" t="s">
        <v>50</v>
      </c>
      <c r="C61" s="73"/>
      <c r="D61" s="72"/>
      <c r="E61" s="72"/>
      <c r="G61" s="70"/>
      <c r="H61" s="73" t="s">
        <v>99</v>
      </c>
      <c r="I61" s="73"/>
      <c r="J61" s="70"/>
      <c r="K61" s="70"/>
      <c r="M61" s="68"/>
      <c r="N61" s="69"/>
      <c r="O61" s="69"/>
      <c r="P61" s="68"/>
      <c r="Q61" s="68"/>
      <c r="T61" s="56"/>
      <c r="U61" s="32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</row>
    <row r="62" spans="1:52" s="11" customFormat="1" ht="17.100000000000001" customHeight="1" thickBot="1" x14ac:dyDescent="0.3">
      <c r="A62" s="70"/>
      <c r="B62" s="73" t="s">
        <v>51</v>
      </c>
      <c r="C62" s="73"/>
      <c r="D62" s="72"/>
      <c r="E62" s="72"/>
      <c r="G62" s="70"/>
      <c r="H62" s="73" t="s">
        <v>100</v>
      </c>
      <c r="I62" s="73"/>
      <c r="J62" s="70"/>
      <c r="K62" s="70"/>
      <c r="M62" s="87" t="s">
        <v>177</v>
      </c>
      <c r="N62" s="87"/>
      <c r="O62" s="87"/>
      <c r="P62" s="87"/>
      <c r="Q62" s="87"/>
      <c r="T62" s="56"/>
      <c r="U62" s="32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</row>
    <row r="63" spans="1:52" ht="6" customHeight="1" x14ac:dyDescent="0.25">
      <c r="M63" s="61"/>
      <c r="N63" s="61"/>
      <c r="O63" s="61"/>
      <c r="P63" s="61"/>
      <c r="Q63" s="61"/>
    </row>
    <row r="64" spans="1:52" x14ac:dyDescent="0.25">
      <c r="B64" s="4"/>
      <c r="E64" s="18"/>
      <c r="F64" s="3"/>
      <c r="H64" s="2"/>
      <c r="M64" s="61"/>
      <c r="P64" s="61"/>
      <c r="Q64" s="61"/>
    </row>
    <row r="65" spans="2:8" x14ac:dyDescent="0.25">
      <c r="B65" s="2"/>
      <c r="H65" s="2"/>
    </row>
    <row r="66" spans="2:8" x14ac:dyDescent="0.25">
      <c r="B66" s="2"/>
      <c r="H66" s="2"/>
    </row>
  </sheetData>
  <mergeCells count="250">
    <mergeCell ref="B54:C54"/>
    <mergeCell ref="H54:I54"/>
    <mergeCell ref="H60:I60"/>
    <mergeCell ref="B61:C61"/>
    <mergeCell ref="H61:I61"/>
    <mergeCell ref="B62:C62"/>
    <mergeCell ref="H62:I62"/>
    <mergeCell ref="M62:Q62"/>
    <mergeCell ref="A58:A62"/>
    <mergeCell ref="B58:C58"/>
    <mergeCell ref="D58:D62"/>
    <mergeCell ref="E58:E62"/>
    <mergeCell ref="H58:I58"/>
    <mergeCell ref="M58:Q58"/>
    <mergeCell ref="B59:C59"/>
    <mergeCell ref="H59:I59"/>
    <mergeCell ref="M59:Q59"/>
    <mergeCell ref="B60:C60"/>
    <mergeCell ref="A55:A57"/>
    <mergeCell ref="B55:C55"/>
    <mergeCell ref="D55:D57"/>
    <mergeCell ref="E55:E57"/>
    <mergeCell ref="H55:I55"/>
    <mergeCell ref="Q51:Q52"/>
    <mergeCell ref="A52:A54"/>
    <mergeCell ref="B52:C52"/>
    <mergeCell ref="D52:D54"/>
    <mergeCell ref="E52:E54"/>
    <mergeCell ref="G52:G62"/>
    <mergeCell ref="H52:I52"/>
    <mergeCell ref="J52:J62"/>
    <mergeCell ref="K52:K62"/>
    <mergeCell ref="B53:C53"/>
    <mergeCell ref="A49:A51"/>
    <mergeCell ref="Q14:Q50"/>
    <mergeCell ref="M55:Q55"/>
    <mergeCell ref="B56:C56"/>
    <mergeCell ref="H56:I56"/>
    <mergeCell ref="M56:Q56"/>
    <mergeCell ref="B57:C57"/>
    <mergeCell ref="H57:I57"/>
    <mergeCell ref="H53:I53"/>
    <mergeCell ref="B51:C51"/>
    <mergeCell ref="H51:I51"/>
    <mergeCell ref="M51:O52"/>
    <mergeCell ref="P51:P52"/>
    <mergeCell ref="B48:C48"/>
    <mergeCell ref="P14:P50"/>
    <mergeCell ref="B15:C15"/>
    <mergeCell ref="H15:I15"/>
    <mergeCell ref="B16:C16"/>
    <mergeCell ref="H16:I16"/>
    <mergeCell ref="H46:I46"/>
    <mergeCell ref="N46:O46"/>
    <mergeCell ref="H43:I43"/>
    <mergeCell ref="J43:J51"/>
    <mergeCell ref="N39:O39"/>
    <mergeCell ref="B46:C46"/>
    <mergeCell ref="E35:E36"/>
    <mergeCell ref="H35:I35"/>
    <mergeCell ref="N35:O35"/>
    <mergeCell ref="B36:C36"/>
    <mergeCell ref="N32:O32"/>
    <mergeCell ref="H50:I50"/>
    <mergeCell ref="N50:O50"/>
    <mergeCell ref="B43:C43"/>
    <mergeCell ref="G43:G51"/>
    <mergeCell ref="H48:I48"/>
    <mergeCell ref="N48:O48"/>
    <mergeCell ref="B49:C49"/>
    <mergeCell ref="D49:D51"/>
    <mergeCell ref="E49:E51"/>
    <mergeCell ref="H49:I49"/>
    <mergeCell ref="N49:O49"/>
    <mergeCell ref="B50:C50"/>
    <mergeCell ref="N40:O40"/>
    <mergeCell ref="B41:C41"/>
    <mergeCell ref="H41:I41"/>
    <mergeCell ref="N41:O41"/>
    <mergeCell ref="A47:A48"/>
    <mergeCell ref="B47:C47"/>
    <mergeCell ref="D47:D48"/>
    <mergeCell ref="E47:E48"/>
    <mergeCell ref="H47:I47"/>
    <mergeCell ref="N47:O47"/>
    <mergeCell ref="K43:K51"/>
    <mergeCell ref="N43:O43"/>
    <mergeCell ref="A44:A46"/>
    <mergeCell ref="B44:C44"/>
    <mergeCell ref="D44:D46"/>
    <mergeCell ref="E44:E46"/>
    <mergeCell ref="H44:I44"/>
    <mergeCell ref="N44:O44"/>
    <mergeCell ref="B45:C45"/>
    <mergeCell ref="H45:I45"/>
    <mergeCell ref="A42:A43"/>
    <mergeCell ref="B42:C42"/>
    <mergeCell ref="D42:D43"/>
    <mergeCell ref="E42:E43"/>
    <mergeCell ref="A37:A39"/>
    <mergeCell ref="B37:C37"/>
    <mergeCell ref="D37:D39"/>
    <mergeCell ref="E37:E39"/>
    <mergeCell ref="H37:I37"/>
    <mergeCell ref="N37:O37"/>
    <mergeCell ref="B38:C38"/>
    <mergeCell ref="H38:I38"/>
    <mergeCell ref="N45:O45"/>
    <mergeCell ref="N38:O38"/>
    <mergeCell ref="B39:C39"/>
    <mergeCell ref="G36:G42"/>
    <mergeCell ref="H36:I36"/>
    <mergeCell ref="J36:J42"/>
    <mergeCell ref="K36:K42"/>
    <mergeCell ref="N36:O36"/>
    <mergeCell ref="H39:I39"/>
    <mergeCell ref="H42:I42"/>
    <mergeCell ref="N42:O42"/>
    <mergeCell ref="A40:A41"/>
    <mergeCell ref="B40:C40"/>
    <mergeCell ref="D40:D41"/>
    <mergeCell ref="E40:E41"/>
    <mergeCell ref="H40:I40"/>
    <mergeCell ref="N33:O33"/>
    <mergeCell ref="B34:C34"/>
    <mergeCell ref="H34:I34"/>
    <mergeCell ref="N34:O34"/>
    <mergeCell ref="J30:J35"/>
    <mergeCell ref="K30:K35"/>
    <mergeCell ref="N30:O30"/>
    <mergeCell ref="B31:C31"/>
    <mergeCell ref="H31:I31"/>
    <mergeCell ref="N31:O31"/>
    <mergeCell ref="B32:C32"/>
    <mergeCell ref="D32:D34"/>
    <mergeCell ref="E32:E34"/>
    <mergeCell ref="H32:I32"/>
    <mergeCell ref="A30:A31"/>
    <mergeCell ref="B30:C30"/>
    <mergeCell ref="D30:D31"/>
    <mergeCell ref="E30:E31"/>
    <mergeCell ref="G30:G35"/>
    <mergeCell ref="H30:I30"/>
    <mergeCell ref="A32:A34"/>
    <mergeCell ref="A35:A36"/>
    <mergeCell ref="B35:C35"/>
    <mergeCell ref="D35:D36"/>
    <mergeCell ref="B33:C33"/>
    <mergeCell ref="H33:I33"/>
    <mergeCell ref="A26:A27"/>
    <mergeCell ref="B26:C26"/>
    <mergeCell ref="D26:D27"/>
    <mergeCell ref="E26:E27"/>
    <mergeCell ref="H26:I26"/>
    <mergeCell ref="N26:O26"/>
    <mergeCell ref="B27:C27"/>
    <mergeCell ref="H27:I27"/>
    <mergeCell ref="N27:O27"/>
    <mergeCell ref="G25:G29"/>
    <mergeCell ref="H25:I25"/>
    <mergeCell ref="J25:J29"/>
    <mergeCell ref="K25:K29"/>
    <mergeCell ref="N25:O25"/>
    <mergeCell ref="A28:A29"/>
    <mergeCell ref="B28:C28"/>
    <mergeCell ref="D28:D29"/>
    <mergeCell ref="E28:E29"/>
    <mergeCell ref="H28:I28"/>
    <mergeCell ref="N28:O28"/>
    <mergeCell ref="B29:C29"/>
    <mergeCell ref="H29:I29"/>
    <mergeCell ref="N29:O29"/>
    <mergeCell ref="B21:C21"/>
    <mergeCell ref="H21:I21"/>
    <mergeCell ref="N21:O21"/>
    <mergeCell ref="A22:A23"/>
    <mergeCell ref="B22:C22"/>
    <mergeCell ref="D22:D23"/>
    <mergeCell ref="E22:E23"/>
    <mergeCell ref="G22:G24"/>
    <mergeCell ref="H22:I22"/>
    <mergeCell ref="J22:J24"/>
    <mergeCell ref="N24:O24"/>
    <mergeCell ref="K22:K24"/>
    <mergeCell ref="N22:O22"/>
    <mergeCell ref="B23:C23"/>
    <mergeCell ref="H23:I23"/>
    <mergeCell ref="N23:O23"/>
    <mergeCell ref="A24:A25"/>
    <mergeCell ref="B24:C24"/>
    <mergeCell ref="D24:D25"/>
    <mergeCell ref="E24:E25"/>
    <mergeCell ref="H24:I24"/>
    <mergeCell ref="B25:C25"/>
    <mergeCell ref="A19:A20"/>
    <mergeCell ref="B19:C19"/>
    <mergeCell ref="D19:D20"/>
    <mergeCell ref="E19:E20"/>
    <mergeCell ref="H19:I19"/>
    <mergeCell ref="N19:O19"/>
    <mergeCell ref="B20:C20"/>
    <mergeCell ref="H20:I20"/>
    <mergeCell ref="N20:O20"/>
    <mergeCell ref="A17:A18"/>
    <mergeCell ref="B17:C17"/>
    <mergeCell ref="D17:D18"/>
    <mergeCell ref="E17:E18"/>
    <mergeCell ref="H17:I17"/>
    <mergeCell ref="N17:O17"/>
    <mergeCell ref="B18:C18"/>
    <mergeCell ref="G18:G21"/>
    <mergeCell ref="H18:I18"/>
    <mergeCell ref="J18:J21"/>
    <mergeCell ref="J14:J17"/>
    <mergeCell ref="K14:K17"/>
    <mergeCell ref="M14:M50"/>
    <mergeCell ref="N14:O14"/>
    <mergeCell ref="N15:O15"/>
    <mergeCell ref="N16:O16"/>
    <mergeCell ref="K18:K21"/>
    <mergeCell ref="N18:O18"/>
    <mergeCell ref="A14:A15"/>
    <mergeCell ref="B14:C14"/>
    <mergeCell ref="D14:D15"/>
    <mergeCell ref="E14:E15"/>
    <mergeCell ref="G14:G17"/>
    <mergeCell ref="H14:I14"/>
    <mergeCell ref="U11:U12"/>
    <mergeCell ref="V11:AY11"/>
    <mergeCell ref="AZ11:AZ12"/>
    <mergeCell ref="A8:B8"/>
    <mergeCell ref="M8:N8"/>
    <mergeCell ref="A9:B9"/>
    <mergeCell ref="M9:N9"/>
    <mergeCell ref="A11:A12"/>
    <mergeCell ref="B11:C12"/>
    <mergeCell ref="D11:E11"/>
    <mergeCell ref="G11:G12"/>
    <mergeCell ref="H11:I12"/>
    <mergeCell ref="J11:K11"/>
    <mergeCell ref="A1:Q1"/>
    <mergeCell ref="A2:Q2"/>
    <mergeCell ref="A3:Q3"/>
    <mergeCell ref="A4:Q4"/>
    <mergeCell ref="A6:Q6"/>
    <mergeCell ref="A7:B7"/>
    <mergeCell ref="M7:N7"/>
    <mergeCell ref="M11:M12"/>
    <mergeCell ref="N11:O12"/>
    <mergeCell ref="P11:Q11"/>
  </mergeCells>
  <pageMargins left="0.35" right="0.25" top="0.31" bottom="0.74803149606299213" header="0.31496062992125984" footer="0.31496062992125984"/>
  <pageSetup paperSize="5" scale="85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6"/>
  <sheetViews>
    <sheetView topLeftCell="A37" zoomScaleNormal="100" workbookViewId="0">
      <selection activeCell="S55" sqref="S55"/>
    </sheetView>
  </sheetViews>
  <sheetFormatPr defaultRowHeight="15" x14ac:dyDescent="0.25"/>
  <cols>
    <col min="1" max="1" width="4.7109375" style="56" customWidth="1"/>
    <col min="2" max="2" width="18.7109375" customWidth="1"/>
    <col min="3" max="3" width="4.7109375" customWidth="1"/>
    <col min="4" max="5" width="4.7109375" style="56" customWidth="1"/>
    <col min="6" max="6" width="2.28515625" customWidth="1"/>
    <col min="7" max="7" width="4.7109375" style="56" customWidth="1"/>
    <col min="8" max="8" width="18.7109375" customWidth="1"/>
    <col min="9" max="9" width="4.7109375" customWidth="1"/>
    <col min="10" max="11" width="4.7109375" style="56" customWidth="1"/>
    <col min="12" max="12" width="2.28515625" customWidth="1"/>
    <col min="13" max="13" width="4.7109375" style="56" customWidth="1"/>
    <col min="14" max="15" width="10.7109375" customWidth="1"/>
    <col min="16" max="17" width="4.7109375" style="56" customWidth="1"/>
    <col min="20" max="20" width="4.42578125" style="5" customWidth="1"/>
    <col min="21" max="21" width="12.28515625" style="31" customWidth="1"/>
    <col min="22" max="39" width="4.7109375" style="56" customWidth="1"/>
    <col min="40" max="51" width="4.7109375" style="5" customWidth="1"/>
    <col min="52" max="52" width="9.140625" style="5"/>
  </cols>
  <sheetData>
    <row r="1" spans="1:52" ht="25.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52" ht="21" customHeight="1" x14ac:dyDescent="0.25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52" ht="18" customHeight="1" x14ac:dyDescent="0.25">
      <c r="A3" s="77" t="s">
        <v>158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52" ht="15" customHeight="1" x14ac:dyDescent="0.25">
      <c r="A4" s="78" t="s">
        <v>159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52" ht="24.75" customHeight="1" x14ac:dyDescent="0.25"/>
    <row r="6" spans="1:52" ht="20.100000000000001" customHeight="1" x14ac:dyDescent="0.3">
      <c r="A6" s="79" t="s">
        <v>138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</row>
    <row r="7" spans="1:52" ht="15" customHeight="1" x14ac:dyDescent="0.25">
      <c r="A7" s="91" t="s">
        <v>154</v>
      </c>
      <c r="B7" s="91"/>
      <c r="C7" s="9" t="s">
        <v>182</v>
      </c>
      <c r="D7" s="51"/>
      <c r="E7" s="51"/>
      <c r="F7" s="56"/>
      <c r="J7" s="51"/>
      <c r="M7" s="92" t="s">
        <v>139</v>
      </c>
      <c r="N7" s="92"/>
      <c r="O7" s="10" t="s">
        <v>155</v>
      </c>
    </row>
    <row r="8" spans="1:52" ht="15" customHeight="1" x14ac:dyDescent="0.25">
      <c r="A8" s="91" t="s">
        <v>140</v>
      </c>
      <c r="B8" s="91"/>
      <c r="C8" s="9">
        <v>2101107</v>
      </c>
      <c r="D8" s="51"/>
      <c r="E8" s="51"/>
      <c r="F8" s="56"/>
      <c r="J8" s="51"/>
      <c r="M8" s="92" t="s">
        <v>141</v>
      </c>
      <c r="N8" s="92"/>
      <c r="O8" s="10" t="s">
        <v>176</v>
      </c>
    </row>
    <row r="9" spans="1:52" ht="15" customHeight="1" x14ac:dyDescent="0.25">
      <c r="A9" s="91" t="s">
        <v>173</v>
      </c>
      <c r="B9" s="91"/>
      <c r="C9" s="38" t="s">
        <v>160</v>
      </c>
      <c r="D9" s="51"/>
      <c r="E9" s="51"/>
      <c r="F9" s="56"/>
      <c r="I9" s="8"/>
      <c r="J9" s="51"/>
      <c r="K9" s="6"/>
      <c r="L9" s="8"/>
      <c r="M9" s="92" t="s">
        <v>142</v>
      </c>
      <c r="N9" s="92"/>
      <c r="O9" s="10" t="s">
        <v>156</v>
      </c>
      <c r="P9" s="6"/>
      <c r="Q9" s="6"/>
    </row>
    <row r="10" spans="1:52" ht="4.5" customHeight="1" thickBot="1" x14ac:dyDescent="0.3"/>
    <row r="11" spans="1:52" ht="16.5" thickTop="1" thickBot="1" x14ac:dyDescent="0.3">
      <c r="A11" s="81" t="s">
        <v>0</v>
      </c>
      <c r="B11" s="81" t="s">
        <v>1</v>
      </c>
      <c r="C11" s="81"/>
      <c r="D11" s="81" t="s">
        <v>2</v>
      </c>
      <c r="E11" s="81"/>
      <c r="F11" s="19"/>
      <c r="G11" s="81" t="s">
        <v>0</v>
      </c>
      <c r="H11" s="81" t="s">
        <v>1</v>
      </c>
      <c r="I11" s="81"/>
      <c r="J11" s="81" t="s">
        <v>2</v>
      </c>
      <c r="K11" s="81"/>
      <c r="L11" s="19"/>
      <c r="M11" s="81" t="s">
        <v>0</v>
      </c>
      <c r="N11" s="81" t="s">
        <v>1</v>
      </c>
      <c r="O11" s="81"/>
      <c r="P11" s="81" t="s">
        <v>2</v>
      </c>
      <c r="Q11" s="81"/>
      <c r="U11" s="89"/>
      <c r="V11" s="88" t="s">
        <v>153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 t="s">
        <v>146</v>
      </c>
    </row>
    <row r="12" spans="1:52" ht="12" customHeight="1" thickTop="1" thickBot="1" x14ac:dyDescent="0.3">
      <c r="A12" s="81"/>
      <c r="B12" s="81"/>
      <c r="C12" s="81"/>
      <c r="D12" s="53" t="s">
        <v>143</v>
      </c>
      <c r="E12" s="53" t="s">
        <v>144</v>
      </c>
      <c r="F12" s="19"/>
      <c r="G12" s="81"/>
      <c r="H12" s="81"/>
      <c r="I12" s="81"/>
      <c r="J12" s="53" t="s">
        <v>143</v>
      </c>
      <c r="K12" s="53" t="s">
        <v>144</v>
      </c>
      <c r="L12" s="19"/>
      <c r="M12" s="81"/>
      <c r="N12" s="81"/>
      <c r="O12" s="81"/>
      <c r="P12" s="53" t="s">
        <v>143</v>
      </c>
      <c r="Q12" s="53" t="s">
        <v>144</v>
      </c>
      <c r="U12" s="90"/>
      <c r="V12" s="52">
        <v>1</v>
      </c>
      <c r="W12" s="52">
        <v>2</v>
      </c>
      <c r="X12" s="52">
        <v>3</v>
      </c>
      <c r="Y12" s="52">
        <v>4</v>
      </c>
      <c r="Z12" s="52">
        <v>5</v>
      </c>
      <c r="AA12" s="52">
        <v>6</v>
      </c>
      <c r="AB12" s="52">
        <v>7</v>
      </c>
      <c r="AC12" s="52">
        <v>8</v>
      </c>
      <c r="AD12" s="52">
        <v>9</v>
      </c>
      <c r="AE12" s="52">
        <v>10</v>
      </c>
      <c r="AF12" s="52">
        <v>11</v>
      </c>
      <c r="AG12" s="52">
        <v>12</v>
      </c>
      <c r="AH12" s="52">
        <v>13</v>
      </c>
      <c r="AI12" s="52">
        <v>14</v>
      </c>
      <c r="AJ12" s="52">
        <v>15</v>
      </c>
      <c r="AK12" s="52">
        <v>16</v>
      </c>
      <c r="AL12" s="52">
        <v>17</v>
      </c>
      <c r="AM12" s="52">
        <v>18</v>
      </c>
      <c r="AN12" s="52">
        <v>19</v>
      </c>
      <c r="AO12" s="52">
        <v>20</v>
      </c>
      <c r="AP12" s="52">
        <v>21</v>
      </c>
      <c r="AQ12" s="52">
        <v>22</v>
      </c>
      <c r="AR12" s="52">
        <v>23</v>
      </c>
      <c r="AS12" s="52">
        <v>24</v>
      </c>
      <c r="AT12" s="52">
        <v>25</v>
      </c>
      <c r="AU12" s="52">
        <v>26</v>
      </c>
      <c r="AV12" s="52">
        <v>27</v>
      </c>
      <c r="AW12" s="52">
        <v>28</v>
      </c>
      <c r="AX12" s="52">
        <v>29</v>
      </c>
      <c r="AY12" s="52">
        <v>30</v>
      </c>
      <c r="AZ12" s="88"/>
    </row>
    <row r="13" spans="1:52" ht="3.75" customHeight="1" thickTop="1" thickBot="1" x14ac:dyDescent="0.3"/>
    <row r="14" spans="1:52" s="11" customFormat="1" ht="17.100000000000001" customHeight="1" thickBot="1" x14ac:dyDescent="0.3">
      <c r="A14" s="70">
        <v>1</v>
      </c>
      <c r="B14" s="73" t="s">
        <v>3</v>
      </c>
      <c r="C14" s="73"/>
      <c r="D14" s="72"/>
      <c r="E14" s="72"/>
      <c r="G14" s="70">
        <v>22</v>
      </c>
      <c r="H14" s="73" t="s">
        <v>52</v>
      </c>
      <c r="I14" s="73"/>
      <c r="J14" s="72"/>
      <c r="K14" s="72"/>
      <c r="M14" s="70">
        <v>30</v>
      </c>
      <c r="N14" s="73" t="s">
        <v>101</v>
      </c>
      <c r="O14" s="73"/>
      <c r="P14" s="70">
        <v>90</v>
      </c>
      <c r="Q14" s="70">
        <v>65</v>
      </c>
      <c r="T14" s="56"/>
      <c r="U14" s="34" t="s">
        <v>151</v>
      </c>
      <c r="V14" s="52">
        <f>D14</f>
        <v>0</v>
      </c>
      <c r="W14" s="52">
        <f>D16</f>
        <v>0</v>
      </c>
      <c r="X14" s="52">
        <f>D17</f>
        <v>0</v>
      </c>
      <c r="Y14" s="52">
        <f>D19</f>
        <v>0</v>
      </c>
      <c r="Z14" s="52">
        <f>D21</f>
        <v>0</v>
      </c>
      <c r="AA14" s="52">
        <f>D22</f>
        <v>0</v>
      </c>
      <c r="AB14" s="52">
        <f>D24</f>
        <v>0</v>
      </c>
      <c r="AC14" s="52">
        <f>D26</f>
        <v>0</v>
      </c>
      <c r="AD14" s="52">
        <f>D28</f>
        <v>0</v>
      </c>
      <c r="AE14" s="52">
        <f>D30</f>
        <v>0</v>
      </c>
      <c r="AF14" s="52">
        <f>D32</f>
        <v>0</v>
      </c>
      <c r="AG14" s="52">
        <f>D35</f>
        <v>0</v>
      </c>
      <c r="AH14" s="52">
        <f>D37</f>
        <v>0</v>
      </c>
      <c r="AI14" s="52">
        <f>D40</f>
        <v>0</v>
      </c>
      <c r="AJ14" s="52">
        <f>D42</f>
        <v>0</v>
      </c>
      <c r="AK14" s="52">
        <f>D44</f>
        <v>0</v>
      </c>
      <c r="AL14" s="52">
        <f>D47</f>
        <v>0</v>
      </c>
      <c r="AM14" s="52">
        <f>D49</f>
        <v>0</v>
      </c>
      <c r="AN14" s="52">
        <f>D52</f>
        <v>0</v>
      </c>
      <c r="AO14" s="52">
        <f>D55</f>
        <v>0</v>
      </c>
      <c r="AP14" s="52">
        <f>D58</f>
        <v>0</v>
      </c>
      <c r="AQ14" s="52">
        <f>J14</f>
        <v>0</v>
      </c>
      <c r="AR14" s="52">
        <f>J18</f>
        <v>0</v>
      </c>
      <c r="AS14" s="52">
        <f>J22</f>
        <v>0</v>
      </c>
      <c r="AT14" s="52">
        <f>J25</f>
        <v>0</v>
      </c>
      <c r="AU14" s="52">
        <f>J30</f>
        <v>0</v>
      </c>
      <c r="AV14" s="52">
        <f>J36</f>
        <v>80</v>
      </c>
      <c r="AW14" s="52">
        <f>J43</f>
        <v>85</v>
      </c>
      <c r="AX14" s="52">
        <f>J52</f>
        <v>85</v>
      </c>
      <c r="AY14" s="52">
        <f>P14</f>
        <v>90</v>
      </c>
      <c r="AZ14" s="35">
        <f>AVERAGEIF(V14:AY14,"&gt;0")</f>
        <v>85</v>
      </c>
    </row>
    <row r="15" spans="1:52" s="11" customFormat="1" ht="17.100000000000001" customHeight="1" thickBot="1" x14ac:dyDescent="0.3">
      <c r="A15" s="70"/>
      <c r="B15" s="73" t="s">
        <v>4</v>
      </c>
      <c r="C15" s="73"/>
      <c r="D15" s="72"/>
      <c r="E15" s="72"/>
      <c r="G15" s="70"/>
      <c r="H15" s="73" t="s">
        <v>53</v>
      </c>
      <c r="I15" s="73"/>
      <c r="J15" s="72"/>
      <c r="K15" s="72"/>
      <c r="M15" s="70"/>
      <c r="N15" s="73" t="s">
        <v>102</v>
      </c>
      <c r="O15" s="73"/>
      <c r="P15" s="70"/>
      <c r="Q15" s="70"/>
      <c r="T15" s="56"/>
      <c r="U15" s="34" t="s">
        <v>152</v>
      </c>
      <c r="V15" s="52">
        <f>E14</f>
        <v>0</v>
      </c>
      <c r="W15" s="52">
        <f>E16</f>
        <v>0</v>
      </c>
      <c r="X15" s="52">
        <f>E17</f>
        <v>0</v>
      </c>
      <c r="Y15" s="52">
        <f>E19</f>
        <v>0</v>
      </c>
      <c r="Z15" s="52">
        <f>E21</f>
        <v>0</v>
      </c>
      <c r="AA15" s="52">
        <f>E22</f>
        <v>0</v>
      </c>
      <c r="AB15" s="52">
        <f>E24</f>
        <v>0</v>
      </c>
      <c r="AC15" s="52">
        <f>E26</f>
        <v>0</v>
      </c>
      <c r="AD15" s="52">
        <f>E28</f>
        <v>0</v>
      </c>
      <c r="AE15" s="52">
        <f>E30</f>
        <v>0</v>
      </c>
      <c r="AF15" s="52">
        <f>E32</f>
        <v>0</v>
      </c>
      <c r="AG15" s="52">
        <f>E35</f>
        <v>0</v>
      </c>
      <c r="AH15" s="52">
        <f>E37</f>
        <v>0</v>
      </c>
      <c r="AI15" s="52">
        <f>E40</f>
        <v>0</v>
      </c>
      <c r="AJ15" s="52">
        <f>E42</f>
        <v>0</v>
      </c>
      <c r="AK15" s="52">
        <f>E44</f>
        <v>0</v>
      </c>
      <c r="AL15" s="52">
        <f>E47</f>
        <v>0</v>
      </c>
      <c r="AM15" s="52">
        <f>E49</f>
        <v>0</v>
      </c>
      <c r="AN15" s="52">
        <f>E52</f>
        <v>0</v>
      </c>
      <c r="AO15" s="52">
        <f>E55</f>
        <v>0</v>
      </c>
      <c r="AP15" s="52">
        <f>E58</f>
        <v>0</v>
      </c>
      <c r="AQ15" s="52">
        <f>K14</f>
        <v>0</v>
      </c>
      <c r="AR15" s="52">
        <f>K18</f>
        <v>0</v>
      </c>
      <c r="AS15" s="52">
        <f>K22</f>
        <v>0</v>
      </c>
      <c r="AT15" s="52">
        <f>K25</f>
        <v>0</v>
      </c>
      <c r="AU15" s="52">
        <f>K30</f>
        <v>0</v>
      </c>
      <c r="AV15" s="52">
        <f>K36</f>
        <v>65</v>
      </c>
      <c r="AW15" s="52">
        <f>K43</f>
        <v>65</v>
      </c>
      <c r="AX15" s="52">
        <f>K52</f>
        <v>65</v>
      </c>
      <c r="AY15" s="52">
        <f>Q14</f>
        <v>65</v>
      </c>
      <c r="AZ15" s="35">
        <f>AVERAGEIF(V15:AY15,"&gt;0")</f>
        <v>65</v>
      </c>
    </row>
    <row r="16" spans="1:52" s="11" customFormat="1" ht="17.100000000000001" customHeight="1" thickBot="1" x14ac:dyDescent="0.3">
      <c r="A16" s="55">
        <v>2</v>
      </c>
      <c r="B16" s="73" t="s">
        <v>6</v>
      </c>
      <c r="C16" s="73"/>
      <c r="D16" s="54"/>
      <c r="E16" s="54"/>
      <c r="G16" s="70"/>
      <c r="H16" s="73" t="s">
        <v>54</v>
      </c>
      <c r="I16" s="73"/>
      <c r="J16" s="72"/>
      <c r="K16" s="72"/>
      <c r="M16" s="70"/>
      <c r="N16" s="73" t="s">
        <v>103</v>
      </c>
      <c r="O16" s="73"/>
      <c r="P16" s="70"/>
      <c r="Q16" s="70"/>
      <c r="T16" s="56"/>
      <c r="U16" s="32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s="11" customFormat="1" ht="17.100000000000001" customHeight="1" thickBot="1" x14ac:dyDescent="0.3">
      <c r="A17" s="70">
        <v>3</v>
      </c>
      <c r="B17" s="73" t="s">
        <v>5</v>
      </c>
      <c r="C17" s="73"/>
      <c r="D17" s="72"/>
      <c r="E17" s="72"/>
      <c r="G17" s="70"/>
      <c r="H17" s="73" t="s">
        <v>55</v>
      </c>
      <c r="I17" s="73"/>
      <c r="J17" s="72"/>
      <c r="K17" s="72"/>
      <c r="M17" s="70"/>
      <c r="N17" s="73" t="s">
        <v>104</v>
      </c>
      <c r="O17" s="73"/>
      <c r="P17" s="70"/>
      <c r="Q17" s="70"/>
      <c r="T17" s="56"/>
      <c r="U17" s="32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</row>
    <row r="18" spans="1:52" s="11" customFormat="1" ht="17.100000000000001" customHeight="1" thickBot="1" x14ac:dyDescent="0.3">
      <c r="A18" s="70"/>
      <c r="B18" s="73" t="s">
        <v>7</v>
      </c>
      <c r="C18" s="73"/>
      <c r="D18" s="72"/>
      <c r="E18" s="72"/>
      <c r="G18" s="70">
        <v>23</v>
      </c>
      <c r="H18" s="73" t="s">
        <v>56</v>
      </c>
      <c r="I18" s="73"/>
      <c r="J18" s="70"/>
      <c r="K18" s="70"/>
      <c r="M18" s="70"/>
      <c r="N18" s="73" t="s">
        <v>105</v>
      </c>
      <c r="O18" s="73"/>
      <c r="P18" s="70"/>
      <c r="Q18" s="70"/>
      <c r="T18" s="56"/>
      <c r="U18" s="32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</row>
    <row r="19" spans="1:52" s="11" customFormat="1" ht="17.100000000000001" customHeight="1" thickBot="1" x14ac:dyDescent="0.3">
      <c r="A19" s="70">
        <v>4</v>
      </c>
      <c r="B19" s="73" t="s">
        <v>8</v>
      </c>
      <c r="C19" s="73"/>
      <c r="D19" s="72"/>
      <c r="E19" s="70"/>
      <c r="G19" s="70"/>
      <c r="H19" s="73" t="s">
        <v>57</v>
      </c>
      <c r="I19" s="73"/>
      <c r="J19" s="70"/>
      <c r="K19" s="70"/>
      <c r="M19" s="70"/>
      <c r="N19" s="73" t="s">
        <v>106</v>
      </c>
      <c r="O19" s="73"/>
      <c r="P19" s="70"/>
      <c r="Q19" s="70"/>
      <c r="T19" s="56"/>
      <c r="U19" s="32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</row>
    <row r="20" spans="1:52" s="11" customFormat="1" ht="17.100000000000001" customHeight="1" thickBot="1" x14ac:dyDescent="0.3">
      <c r="A20" s="70"/>
      <c r="B20" s="73" t="s">
        <v>9</v>
      </c>
      <c r="C20" s="73"/>
      <c r="D20" s="72"/>
      <c r="E20" s="70"/>
      <c r="G20" s="70"/>
      <c r="H20" s="73" t="s">
        <v>58</v>
      </c>
      <c r="I20" s="73"/>
      <c r="J20" s="70"/>
      <c r="K20" s="70"/>
      <c r="M20" s="70"/>
      <c r="N20" s="73" t="s">
        <v>107</v>
      </c>
      <c r="O20" s="73"/>
      <c r="P20" s="70"/>
      <c r="Q20" s="70"/>
      <c r="T20" s="56"/>
      <c r="U20" s="32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</row>
    <row r="21" spans="1:52" s="11" customFormat="1" ht="17.100000000000001" customHeight="1" thickBot="1" x14ac:dyDescent="0.3">
      <c r="A21" s="55">
        <v>5</v>
      </c>
      <c r="B21" s="73" t="s">
        <v>10</v>
      </c>
      <c r="C21" s="73"/>
      <c r="D21" s="54"/>
      <c r="E21" s="54"/>
      <c r="G21" s="70"/>
      <c r="H21" s="73" t="s">
        <v>59</v>
      </c>
      <c r="I21" s="73"/>
      <c r="J21" s="70"/>
      <c r="K21" s="70"/>
      <c r="M21" s="70"/>
      <c r="N21" s="73" t="s">
        <v>108</v>
      </c>
      <c r="O21" s="73"/>
      <c r="P21" s="70"/>
      <c r="Q21" s="70"/>
      <c r="T21" s="56"/>
      <c r="U21" s="32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</row>
    <row r="22" spans="1:52" s="11" customFormat="1" ht="17.100000000000001" customHeight="1" thickBot="1" x14ac:dyDescent="0.3">
      <c r="A22" s="70">
        <v>6</v>
      </c>
      <c r="B22" s="73" t="s">
        <v>11</v>
      </c>
      <c r="C22" s="73"/>
      <c r="D22" s="72"/>
      <c r="E22" s="70"/>
      <c r="G22" s="70">
        <v>24</v>
      </c>
      <c r="H22" s="73" t="s">
        <v>60</v>
      </c>
      <c r="I22" s="73"/>
      <c r="J22" s="70"/>
      <c r="K22" s="70"/>
      <c r="M22" s="70"/>
      <c r="N22" s="73" t="s">
        <v>109</v>
      </c>
      <c r="O22" s="73"/>
      <c r="P22" s="70"/>
      <c r="Q22" s="70"/>
      <c r="T22" s="56"/>
      <c r="U22" s="32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</row>
    <row r="23" spans="1:52" s="11" customFormat="1" ht="17.100000000000001" customHeight="1" thickBot="1" x14ac:dyDescent="0.3">
      <c r="A23" s="70"/>
      <c r="B23" s="73" t="s">
        <v>12</v>
      </c>
      <c r="C23" s="73"/>
      <c r="D23" s="72"/>
      <c r="E23" s="70"/>
      <c r="G23" s="70"/>
      <c r="H23" s="73" t="s">
        <v>61</v>
      </c>
      <c r="I23" s="73"/>
      <c r="J23" s="70"/>
      <c r="K23" s="70"/>
      <c r="M23" s="70"/>
      <c r="N23" s="73" t="s">
        <v>110</v>
      </c>
      <c r="O23" s="73"/>
      <c r="P23" s="70"/>
      <c r="Q23" s="70"/>
      <c r="T23" s="56"/>
      <c r="U23" s="32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</row>
    <row r="24" spans="1:52" s="11" customFormat="1" ht="17.100000000000001" customHeight="1" thickBot="1" x14ac:dyDescent="0.3">
      <c r="A24" s="70">
        <v>7</v>
      </c>
      <c r="B24" s="73" t="s">
        <v>13</v>
      </c>
      <c r="C24" s="73"/>
      <c r="D24" s="70"/>
      <c r="E24" s="70"/>
      <c r="G24" s="70"/>
      <c r="H24" s="73" t="s">
        <v>62</v>
      </c>
      <c r="I24" s="73"/>
      <c r="J24" s="70"/>
      <c r="K24" s="70"/>
      <c r="M24" s="70"/>
      <c r="N24" s="73" t="s">
        <v>111</v>
      </c>
      <c r="O24" s="73"/>
      <c r="P24" s="70"/>
      <c r="Q24" s="70"/>
      <c r="T24" s="56"/>
      <c r="U24" s="32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</row>
    <row r="25" spans="1:52" s="11" customFormat="1" ht="17.100000000000001" customHeight="1" thickBot="1" x14ac:dyDescent="0.3">
      <c r="A25" s="70"/>
      <c r="B25" s="73" t="s">
        <v>14</v>
      </c>
      <c r="C25" s="73"/>
      <c r="D25" s="70"/>
      <c r="E25" s="70"/>
      <c r="G25" s="70">
        <v>25</v>
      </c>
      <c r="H25" s="73" t="s">
        <v>63</v>
      </c>
      <c r="I25" s="73"/>
      <c r="J25" s="70"/>
      <c r="K25" s="70"/>
      <c r="M25" s="70"/>
      <c r="N25" s="73" t="s">
        <v>112</v>
      </c>
      <c r="O25" s="73"/>
      <c r="P25" s="70"/>
      <c r="Q25" s="70"/>
      <c r="T25" s="56"/>
      <c r="U25" s="32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</row>
    <row r="26" spans="1:52" s="11" customFormat="1" ht="17.100000000000001" customHeight="1" thickBot="1" x14ac:dyDescent="0.3">
      <c r="A26" s="70">
        <v>8</v>
      </c>
      <c r="B26" s="73" t="s">
        <v>15</v>
      </c>
      <c r="C26" s="73"/>
      <c r="D26" s="70"/>
      <c r="E26" s="70"/>
      <c r="G26" s="70"/>
      <c r="H26" s="73" t="s">
        <v>64</v>
      </c>
      <c r="I26" s="73"/>
      <c r="J26" s="70"/>
      <c r="K26" s="70"/>
      <c r="M26" s="70"/>
      <c r="N26" s="73" t="s">
        <v>113</v>
      </c>
      <c r="O26" s="73"/>
      <c r="P26" s="70"/>
      <c r="Q26" s="70"/>
      <c r="T26" s="56"/>
      <c r="U26" s="32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</row>
    <row r="27" spans="1:52" s="11" customFormat="1" ht="17.100000000000001" customHeight="1" thickBot="1" x14ac:dyDescent="0.3">
      <c r="A27" s="70"/>
      <c r="B27" s="73" t="s">
        <v>16</v>
      </c>
      <c r="C27" s="73"/>
      <c r="D27" s="70"/>
      <c r="E27" s="70"/>
      <c r="G27" s="70"/>
      <c r="H27" s="73" t="s">
        <v>65</v>
      </c>
      <c r="I27" s="73"/>
      <c r="J27" s="70"/>
      <c r="K27" s="70"/>
      <c r="M27" s="70"/>
      <c r="N27" s="73" t="s">
        <v>114</v>
      </c>
      <c r="O27" s="73"/>
      <c r="P27" s="70"/>
      <c r="Q27" s="70"/>
      <c r="T27" s="56"/>
      <c r="U27" s="32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</row>
    <row r="28" spans="1:52" s="11" customFormat="1" ht="17.100000000000001" customHeight="1" thickBot="1" x14ac:dyDescent="0.3">
      <c r="A28" s="70">
        <v>9</v>
      </c>
      <c r="B28" s="73" t="s">
        <v>17</v>
      </c>
      <c r="C28" s="73"/>
      <c r="D28" s="70"/>
      <c r="E28" s="70"/>
      <c r="G28" s="70"/>
      <c r="H28" s="73" t="s">
        <v>66</v>
      </c>
      <c r="I28" s="73"/>
      <c r="J28" s="70"/>
      <c r="K28" s="70"/>
      <c r="M28" s="70"/>
      <c r="N28" s="73" t="s">
        <v>115</v>
      </c>
      <c r="O28" s="73"/>
      <c r="P28" s="70"/>
      <c r="Q28" s="70"/>
      <c r="T28" s="56"/>
      <c r="U28" s="32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</row>
    <row r="29" spans="1:52" s="11" customFormat="1" ht="17.100000000000001" customHeight="1" thickBot="1" x14ac:dyDescent="0.3">
      <c r="A29" s="70"/>
      <c r="B29" s="73" t="s">
        <v>18</v>
      </c>
      <c r="C29" s="73"/>
      <c r="D29" s="70"/>
      <c r="E29" s="70"/>
      <c r="G29" s="70"/>
      <c r="H29" s="73" t="s">
        <v>67</v>
      </c>
      <c r="I29" s="73"/>
      <c r="J29" s="70"/>
      <c r="K29" s="70"/>
      <c r="M29" s="70"/>
      <c r="N29" s="73" t="s">
        <v>116</v>
      </c>
      <c r="O29" s="73"/>
      <c r="P29" s="70"/>
      <c r="Q29" s="70"/>
      <c r="T29" s="56"/>
      <c r="U29" s="32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</row>
    <row r="30" spans="1:52" s="11" customFormat="1" ht="17.100000000000001" customHeight="1" thickBot="1" x14ac:dyDescent="0.3">
      <c r="A30" s="70">
        <v>10</v>
      </c>
      <c r="B30" s="73" t="s">
        <v>19</v>
      </c>
      <c r="C30" s="73"/>
      <c r="D30" s="70"/>
      <c r="E30" s="70"/>
      <c r="G30" s="70">
        <v>26</v>
      </c>
      <c r="H30" s="73" t="s">
        <v>68</v>
      </c>
      <c r="I30" s="73"/>
      <c r="J30" s="70"/>
      <c r="K30" s="70"/>
      <c r="M30" s="70"/>
      <c r="N30" s="73" t="s">
        <v>117</v>
      </c>
      <c r="O30" s="73"/>
      <c r="P30" s="70"/>
      <c r="Q30" s="70"/>
      <c r="T30" s="56"/>
      <c r="U30" s="32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52" s="11" customFormat="1" ht="17.100000000000001" customHeight="1" thickBot="1" x14ac:dyDescent="0.3">
      <c r="A31" s="70"/>
      <c r="B31" s="73" t="s">
        <v>20</v>
      </c>
      <c r="C31" s="73"/>
      <c r="D31" s="70"/>
      <c r="E31" s="70"/>
      <c r="G31" s="70"/>
      <c r="H31" s="73" t="s">
        <v>69</v>
      </c>
      <c r="I31" s="73"/>
      <c r="J31" s="70"/>
      <c r="K31" s="70"/>
      <c r="M31" s="70"/>
      <c r="N31" s="73" t="s">
        <v>118</v>
      </c>
      <c r="O31" s="73"/>
      <c r="P31" s="70"/>
      <c r="Q31" s="70"/>
      <c r="T31" s="56"/>
      <c r="U31" s="32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52" s="11" customFormat="1" ht="17.100000000000001" customHeight="1" thickBot="1" x14ac:dyDescent="0.3">
      <c r="A32" s="70">
        <v>11</v>
      </c>
      <c r="B32" s="73" t="s">
        <v>21</v>
      </c>
      <c r="C32" s="73"/>
      <c r="D32" s="72"/>
      <c r="E32" s="72"/>
      <c r="G32" s="70"/>
      <c r="H32" s="73" t="s">
        <v>70</v>
      </c>
      <c r="I32" s="73"/>
      <c r="J32" s="70"/>
      <c r="K32" s="70"/>
      <c r="M32" s="70"/>
      <c r="N32" s="73" t="s">
        <v>119</v>
      </c>
      <c r="O32" s="73"/>
      <c r="P32" s="70"/>
      <c r="Q32" s="70"/>
      <c r="T32" s="56"/>
      <c r="U32" s="32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 spans="1:52" s="11" customFormat="1" ht="17.100000000000001" customHeight="1" thickBot="1" x14ac:dyDescent="0.3">
      <c r="A33" s="70"/>
      <c r="B33" s="73" t="s">
        <v>22</v>
      </c>
      <c r="C33" s="73"/>
      <c r="D33" s="72"/>
      <c r="E33" s="72"/>
      <c r="G33" s="70"/>
      <c r="H33" s="73" t="s">
        <v>71</v>
      </c>
      <c r="I33" s="73"/>
      <c r="J33" s="70"/>
      <c r="K33" s="70"/>
      <c r="M33" s="70"/>
      <c r="N33" s="73" t="s">
        <v>120</v>
      </c>
      <c r="O33" s="73"/>
      <c r="P33" s="70"/>
      <c r="Q33" s="70"/>
      <c r="T33" s="56"/>
      <c r="U33" s="32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 spans="1:52" s="11" customFormat="1" ht="17.100000000000001" customHeight="1" thickBot="1" x14ac:dyDescent="0.3">
      <c r="A34" s="70"/>
      <c r="B34" s="73" t="s">
        <v>23</v>
      </c>
      <c r="C34" s="73"/>
      <c r="D34" s="72"/>
      <c r="E34" s="72"/>
      <c r="G34" s="70"/>
      <c r="H34" s="73" t="s">
        <v>72</v>
      </c>
      <c r="I34" s="73"/>
      <c r="J34" s="70"/>
      <c r="K34" s="70"/>
      <c r="M34" s="70"/>
      <c r="N34" s="73" t="s">
        <v>121</v>
      </c>
      <c r="O34" s="73"/>
      <c r="P34" s="70"/>
      <c r="Q34" s="70"/>
      <c r="T34" s="56"/>
      <c r="U34" s="32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</row>
    <row r="35" spans="1:52" s="11" customFormat="1" ht="17.100000000000001" customHeight="1" thickBot="1" x14ac:dyDescent="0.3">
      <c r="A35" s="70">
        <v>12</v>
      </c>
      <c r="B35" s="73" t="s">
        <v>24</v>
      </c>
      <c r="C35" s="73"/>
      <c r="D35" s="70"/>
      <c r="E35" s="70"/>
      <c r="G35" s="70"/>
      <c r="H35" s="73" t="s">
        <v>73</v>
      </c>
      <c r="I35" s="73"/>
      <c r="J35" s="70"/>
      <c r="K35" s="70"/>
      <c r="M35" s="70"/>
      <c r="N35" s="73" t="s">
        <v>122</v>
      </c>
      <c r="O35" s="73"/>
      <c r="P35" s="70"/>
      <c r="Q35" s="70"/>
      <c r="T35" s="56"/>
      <c r="U35" s="32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</row>
    <row r="36" spans="1:52" s="11" customFormat="1" ht="17.100000000000001" customHeight="1" thickBot="1" x14ac:dyDescent="0.3">
      <c r="A36" s="70"/>
      <c r="B36" s="73" t="s">
        <v>25</v>
      </c>
      <c r="C36" s="73"/>
      <c r="D36" s="70"/>
      <c r="E36" s="70"/>
      <c r="G36" s="70">
        <v>27</v>
      </c>
      <c r="H36" s="73" t="s">
        <v>74</v>
      </c>
      <c r="I36" s="73"/>
      <c r="J36" s="70">
        <v>80</v>
      </c>
      <c r="K36" s="70">
        <v>65</v>
      </c>
      <c r="M36" s="70"/>
      <c r="N36" s="73" t="s">
        <v>123</v>
      </c>
      <c r="O36" s="73"/>
      <c r="P36" s="70"/>
      <c r="Q36" s="70"/>
      <c r="T36" s="56"/>
      <c r="U36" s="32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</row>
    <row r="37" spans="1:52" s="11" customFormat="1" ht="17.100000000000001" customHeight="1" thickBot="1" x14ac:dyDescent="0.3">
      <c r="A37" s="70">
        <v>13</v>
      </c>
      <c r="B37" s="73" t="s">
        <v>26</v>
      </c>
      <c r="C37" s="73"/>
      <c r="D37" s="72"/>
      <c r="E37" s="72"/>
      <c r="G37" s="70"/>
      <c r="H37" s="73" t="s">
        <v>75</v>
      </c>
      <c r="I37" s="73"/>
      <c r="J37" s="70"/>
      <c r="K37" s="70"/>
      <c r="M37" s="70"/>
      <c r="N37" s="73" t="s">
        <v>124</v>
      </c>
      <c r="O37" s="73"/>
      <c r="P37" s="70"/>
      <c r="Q37" s="70"/>
      <c r="T37" s="56"/>
      <c r="U37" s="32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</row>
    <row r="38" spans="1:52" s="11" customFormat="1" ht="17.100000000000001" customHeight="1" thickBot="1" x14ac:dyDescent="0.3">
      <c r="A38" s="70"/>
      <c r="B38" s="73" t="s">
        <v>27</v>
      </c>
      <c r="C38" s="73"/>
      <c r="D38" s="72"/>
      <c r="E38" s="72"/>
      <c r="G38" s="70"/>
      <c r="H38" s="73" t="s">
        <v>76</v>
      </c>
      <c r="I38" s="73"/>
      <c r="J38" s="70"/>
      <c r="K38" s="70"/>
      <c r="M38" s="70"/>
      <c r="N38" s="73" t="s">
        <v>125</v>
      </c>
      <c r="O38" s="73"/>
      <c r="P38" s="70"/>
      <c r="Q38" s="70"/>
      <c r="T38" s="56"/>
      <c r="U38" s="32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</row>
    <row r="39" spans="1:52" s="11" customFormat="1" ht="17.100000000000001" customHeight="1" thickBot="1" x14ac:dyDescent="0.3">
      <c r="A39" s="70"/>
      <c r="B39" s="73" t="s">
        <v>28</v>
      </c>
      <c r="C39" s="73"/>
      <c r="D39" s="72"/>
      <c r="E39" s="72"/>
      <c r="G39" s="70"/>
      <c r="H39" s="73" t="s">
        <v>77</v>
      </c>
      <c r="I39" s="73"/>
      <c r="J39" s="70"/>
      <c r="K39" s="70"/>
      <c r="M39" s="70"/>
      <c r="N39" s="73" t="s">
        <v>126</v>
      </c>
      <c r="O39" s="73"/>
      <c r="P39" s="70"/>
      <c r="Q39" s="70"/>
      <c r="T39" s="56"/>
      <c r="U39" s="32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 spans="1:52" s="11" customFormat="1" ht="17.100000000000001" customHeight="1" thickBot="1" x14ac:dyDescent="0.3">
      <c r="A40" s="70">
        <v>14</v>
      </c>
      <c r="B40" s="73" t="s">
        <v>29</v>
      </c>
      <c r="C40" s="73"/>
      <c r="D40" s="70"/>
      <c r="E40" s="70"/>
      <c r="G40" s="70"/>
      <c r="H40" s="73" t="s">
        <v>78</v>
      </c>
      <c r="I40" s="73"/>
      <c r="J40" s="70"/>
      <c r="K40" s="70"/>
      <c r="M40" s="70"/>
      <c r="N40" s="73" t="s">
        <v>127</v>
      </c>
      <c r="O40" s="73"/>
      <c r="P40" s="70"/>
      <c r="Q40" s="70"/>
      <c r="T40" s="56"/>
      <c r="U40" s="32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</row>
    <row r="41" spans="1:52" s="11" customFormat="1" ht="17.100000000000001" customHeight="1" thickBot="1" x14ac:dyDescent="0.3">
      <c r="A41" s="70"/>
      <c r="B41" s="73" t="s">
        <v>30</v>
      </c>
      <c r="C41" s="73"/>
      <c r="D41" s="70"/>
      <c r="E41" s="70"/>
      <c r="G41" s="70"/>
      <c r="H41" s="73" t="s">
        <v>79</v>
      </c>
      <c r="I41" s="73"/>
      <c r="J41" s="70"/>
      <c r="K41" s="70"/>
      <c r="M41" s="70"/>
      <c r="N41" s="73" t="s">
        <v>128</v>
      </c>
      <c r="O41" s="73"/>
      <c r="P41" s="70"/>
      <c r="Q41" s="70"/>
      <c r="T41" s="56"/>
      <c r="U41" s="32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  <row r="42" spans="1:52" s="11" customFormat="1" ht="17.100000000000001" customHeight="1" thickBot="1" x14ac:dyDescent="0.3">
      <c r="A42" s="70">
        <v>15</v>
      </c>
      <c r="B42" s="73" t="s">
        <v>31</v>
      </c>
      <c r="C42" s="73"/>
      <c r="D42" s="70"/>
      <c r="E42" s="70"/>
      <c r="G42" s="70"/>
      <c r="H42" s="73" t="s">
        <v>80</v>
      </c>
      <c r="I42" s="73"/>
      <c r="J42" s="70"/>
      <c r="K42" s="70"/>
      <c r="M42" s="70"/>
      <c r="N42" s="73" t="s">
        <v>129</v>
      </c>
      <c r="O42" s="73"/>
      <c r="P42" s="70"/>
      <c r="Q42" s="70"/>
      <c r="T42" s="56"/>
      <c r="U42" s="32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</row>
    <row r="43" spans="1:52" s="11" customFormat="1" ht="17.100000000000001" customHeight="1" thickBot="1" x14ac:dyDescent="0.3">
      <c r="A43" s="70"/>
      <c r="B43" s="73" t="s">
        <v>32</v>
      </c>
      <c r="C43" s="73"/>
      <c r="D43" s="70"/>
      <c r="E43" s="70"/>
      <c r="G43" s="70">
        <v>28</v>
      </c>
      <c r="H43" s="73" t="s">
        <v>81</v>
      </c>
      <c r="I43" s="73"/>
      <c r="J43" s="70">
        <v>85</v>
      </c>
      <c r="K43" s="70">
        <v>65</v>
      </c>
      <c r="M43" s="70"/>
      <c r="N43" s="73" t="s">
        <v>130</v>
      </c>
      <c r="O43" s="73"/>
      <c r="P43" s="70"/>
      <c r="Q43" s="70"/>
      <c r="T43" s="56"/>
      <c r="U43" s="32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</row>
    <row r="44" spans="1:52" s="11" customFormat="1" ht="17.100000000000001" customHeight="1" thickBot="1" x14ac:dyDescent="0.3">
      <c r="A44" s="70">
        <v>16</v>
      </c>
      <c r="B44" s="73" t="s">
        <v>33</v>
      </c>
      <c r="C44" s="73"/>
      <c r="D44" s="72"/>
      <c r="E44" s="72"/>
      <c r="G44" s="70"/>
      <c r="H44" s="73" t="s">
        <v>82</v>
      </c>
      <c r="I44" s="73"/>
      <c r="J44" s="70"/>
      <c r="K44" s="70"/>
      <c r="M44" s="70"/>
      <c r="N44" s="73" t="s">
        <v>131</v>
      </c>
      <c r="O44" s="73"/>
      <c r="P44" s="70"/>
      <c r="Q44" s="70"/>
      <c r="T44" s="56"/>
      <c r="U44" s="32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</row>
    <row r="45" spans="1:52" s="11" customFormat="1" ht="17.100000000000001" customHeight="1" thickBot="1" x14ac:dyDescent="0.3">
      <c r="A45" s="70"/>
      <c r="B45" s="73" t="s">
        <v>34</v>
      </c>
      <c r="C45" s="73"/>
      <c r="D45" s="72"/>
      <c r="E45" s="72"/>
      <c r="G45" s="70"/>
      <c r="H45" s="73" t="s">
        <v>83</v>
      </c>
      <c r="I45" s="73"/>
      <c r="J45" s="70"/>
      <c r="K45" s="70"/>
      <c r="M45" s="70"/>
      <c r="N45" s="73" t="s">
        <v>132</v>
      </c>
      <c r="O45" s="73"/>
      <c r="P45" s="70"/>
      <c r="Q45" s="70"/>
      <c r="T45" s="56"/>
      <c r="U45" s="32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</row>
    <row r="46" spans="1:52" s="11" customFormat="1" ht="17.100000000000001" customHeight="1" thickBot="1" x14ac:dyDescent="0.3">
      <c r="A46" s="70"/>
      <c r="B46" s="73" t="s">
        <v>35</v>
      </c>
      <c r="C46" s="73"/>
      <c r="D46" s="72"/>
      <c r="E46" s="72"/>
      <c r="G46" s="70"/>
      <c r="H46" s="73" t="s">
        <v>84</v>
      </c>
      <c r="I46" s="73"/>
      <c r="J46" s="70"/>
      <c r="K46" s="70"/>
      <c r="M46" s="70"/>
      <c r="N46" s="73" t="s">
        <v>133</v>
      </c>
      <c r="O46" s="73"/>
      <c r="P46" s="70"/>
      <c r="Q46" s="70"/>
      <c r="T46" s="56"/>
      <c r="U46" s="32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</row>
    <row r="47" spans="1:52" s="11" customFormat="1" ht="17.100000000000001" customHeight="1" thickBot="1" x14ac:dyDescent="0.3">
      <c r="A47" s="70">
        <v>17</v>
      </c>
      <c r="B47" s="73" t="s">
        <v>36</v>
      </c>
      <c r="C47" s="73"/>
      <c r="D47" s="70"/>
      <c r="E47" s="70"/>
      <c r="G47" s="70"/>
      <c r="H47" s="73" t="s">
        <v>85</v>
      </c>
      <c r="I47" s="73"/>
      <c r="J47" s="70"/>
      <c r="K47" s="70"/>
      <c r="M47" s="70"/>
      <c r="N47" s="73" t="s">
        <v>134</v>
      </c>
      <c r="O47" s="73"/>
      <c r="P47" s="70"/>
      <c r="Q47" s="70"/>
      <c r="T47" s="56"/>
      <c r="U47" s="32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</row>
    <row r="48" spans="1:52" s="11" customFormat="1" ht="17.100000000000001" customHeight="1" thickBot="1" x14ac:dyDescent="0.3">
      <c r="A48" s="70"/>
      <c r="B48" s="73" t="s">
        <v>37</v>
      </c>
      <c r="C48" s="73"/>
      <c r="D48" s="70"/>
      <c r="E48" s="70"/>
      <c r="G48" s="70"/>
      <c r="H48" s="73" t="s">
        <v>86</v>
      </c>
      <c r="I48" s="73"/>
      <c r="J48" s="70"/>
      <c r="K48" s="70"/>
      <c r="M48" s="70"/>
      <c r="N48" s="73" t="s">
        <v>135</v>
      </c>
      <c r="O48" s="73"/>
      <c r="P48" s="70"/>
      <c r="Q48" s="70"/>
      <c r="T48" s="56"/>
      <c r="U48" s="32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</row>
    <row r="49" spans="1:52" s="11" customFormat="1" ht="17.100000000000001" customHeight="1" thickBot="1" x14ac:dyDescent="0.3">
      <c r="A49" s="70">
        <v>18</v>
      </c>
      <c r="B49" s="73" t="s">
        <v>38</v>
      </c>
      <c r="C49" s="73"/>
      <c r="D49" s="72"/>
      <c r="E49" s="72"/>
      <c r="G49" s="70"/>
      <c r="H49" s="73" t="s">
        <v>87</v>
      </c>
      <c r="I49" s="73"/>
      <c r="J49" s="70"/>
      <c r="K49" s="70"/>
      <c r="M49" s="70"/>
      <c r="N49" s="73" t="s">
        <v>136</v>
      </c>
      <c r="O49" s="73"/>
      <c r="P49" s="70"/>
      <c r="Q49" s="70"/>
      <c r="T49" s="56"/>
      <c r="U49" s="32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</row>
    <row r="50" spans="1:52" s="11" customFormat="1" ht="17.100000000000001" customHeight="1" thickBot="1" x14ac:dyDescent="0.3">
      <c r="A50" s="70"/>
      <c r="B50" s="73" t="s">
        <v>39</v>
      </c>
      <c r="C50" s="73"/>
      <c r="D50" s="72"/>
      <c r="E50" s="72"/>
      <c r="G50" s="70"/>
      <c r="H50" s="73" t="s">
        <v>88</v>
      </c>
      <c r="I50" s="73"/>
      <c r="J50" s="70"/>
      <c r="K50" s="70"/>
      <c r="M50" s="71"/>
      <c r="N50" s="84" t="s">
        <v>137</v>
      </c>
      <c r="O50" s="84"/>
      <c r="P50" s="71"/>
      <c r="Q50" s="71"/>
      <c r="T50" s="56"/>
      <c r="U50" s="32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</row>
    <row r="51" spans="1:52" s="11" customFormat="1" ht="17.100000000000001" customHeight="1" thickTop="1" thickBot="1" x14ac:dyDescent="0.3">
      <c r="A51" s="70"/>
      <c r="B51" s="73" t="s">
        <v>41</v>
      </c>
      <c r="C51" s="73"/>
      <c r="D51" s="72"/>
      <c r="E51" s="72"/>
      <c r="G51" s="70"/>
      <c r="H51" s="73" t="s">
        <v>89</v>
      </c>
      <c r="I51" s="73"/>
      <c r="J51" s="70"/>
      <c r="K51" s="70"/>
      <c r="M51" s="74" t="s">
        <v>145</v>
      </c>
      <c r="N51" s="74"/>
      <c r="O51" s="74"/>
      <c r="P51" s="82">
        <f>AZ14</f>
        <v>85</v>
      </c>
      <c r="Q51" s="82">
        <f>AZ15</f>
        <v>65</v>
      </c>
      <c r="T51" s="56"/>
      <c r="U51" s="32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</row>
    <row r="52" spans="1:52" s="11" customFormat="1" ht="17.100000000000001" customHeight="1" thickBot="1" x14ac:dyDescent="0.3">
      <c r="A52" s="70">
        <v>19</v>
      </c>
      <c r="B52" s="73" t="s">
        <v>42</v>
      </c>
      <c r="C52" s="73"/>
      <c r="D52" s="72"/>
      <c r="E52" s="72"/>
      <c r="G52" s="70">
        <v>29</v>
      </c>
      <c r="H52" s="73" t="s">
        <v>90</v>
      </c>
      <c r="I52" s="73"/>
      <c r="J52" s="70">
        <v>85</v>
      </c>
      <c r="K52" s="70">
        <v>65</v>
      </c>
      <c r="M52" s="75"/>
      <c r="N52" s="75"/>
      <c r="O52" s="75"/>
      <c r="P52" s="83"/>
      <c r="Q52" s="83"/>
      <c r="T52" s="56"/>
      <c r="U52" s="32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</row>
    <row r="53" spans="1:52" s="11" customFormat="1" ht="17.100000000000001" customHeight="1" thickBot="1" x14ac:dyDescent="0.3">
      <c r="A53" s="70"/>
      <c r="B53" s="73" t="s">
        <v>40</v>
      </c>
      <c r="C53" s="73"/>
      <c r="D53" s="72"/>
      <c r="E53" s="72"/>
      <c r="G53" s="70"/>
      <c r="H53" s="73" t="s">
        <v>91</v>
      </c>
      <c r="I53" s="73"/>
      <c r="J53" s="70"/>
      <c r="K53" s="70"/>
      <c r="M53" s="39" t="s">
        <v>163</v>
      </c>
      <c r="N53" s="13"/>
      <c r="P53" s="56"/>
      <c r="Q53" s="56"/>
      <c r="T53" s="56"/>
      <c r="U53" s="32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</row>
    <row r="54" spans="1:52" s="11" customFormat="1" ht="17.100000000000001" customHeight="1" thickBot="1" x14ac:dyDescent="0.3">
      <c r="A54" s="70"/>
      <c r="B54" s="73" t="s">
        <v>43</v>
      </c>
      <c r="C54" s="73"/>
      <c r="D54" s="72"/>
      <c r="E54" s="72"/>
      <c r="G54" s="70"/>
      <c r="H54" s="73" t="s">
        <v>92</v>
      </c>
      <c r="I54" s="73"/>
      <c r="J54" s="70"/>
      <c r="K54" s="70"/>
      <c r="M54" s="12"/>
      <c r="N54" s="15"/>
      <c r="P54" s="56"/>
      <c r="Q54" s="56"/>
      <c r="T54" s="56"/>
      <c r="U54" s="32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</row>
    <row r="55" spans="1:52" s="11" customFormat="1" ht="17.100000000000001" customHeight="1" thickBot="1" x14ac:dyDescent="0.45">
      <c r="A55" s="70">
        <v>20</v>
      </c>
      <c r="B55" s="73" t="s">
        <v>44</v>
      </c>
      <c r="C55" s="73"/>
      <c r="D55" s="72"/>
      <c r="E55" s="72"/>
      <c r="G55" s="70"/>
      <c r="H55" s="73" t="s">
        <v>93</v>
      </c>
      <c r="I55" s="73"/>
      <c r="J55" s="70"/>
      <c r="K55" s="70"/>
      <c r="M55" s="85" t="s">
        <v>175</v>
      </c>
      <c r="N55" s="85"/>
      <c r="O55" s="85"/>
      <c r="P55" s="85"/>
      <c r="Q55" s="85"/>
      <c r="T55" s="56"/>
      <c r="U55" s="32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</row>
    <row r="56" spans="1:52" s="11" customFormat="1" ht="17.100000000000001" customHeight="1" thickBot="1" x14ac:dyDescent="0.45">
      <c r="A56" s="70"/>
      <c r="B56" s="73" t="s">
        <v>45</v>
      </c>
      <c r="C56" s="73"/>
      <c r="D56" s="72"/>
      <c r="E56" s="72"/>
      <c r="G56" s="70"/>
      <c r="H56" s="73" t="s">
        <v>94</v>
      </c>
      <c r="I56" s="73"/>
      <c r="J56" s="70"/>
      <c r="K56" s="70"/>
      <c r="M56" s="85" t="s">
        <v>193</v>
      </c>
      <c r="N56" s="85"/>
      <c r="O56" s="85"/>
      <c r="P56" s="85"/>
      <c r="Q56" s="85"/>
      <c r="T56" s="56"/>
      <c r="U56" s="32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</row>
    <row r="57" spans="1:52" s="11" customFormat="1" ht="17.100000000000001" customHeight="1" thickBot="1" x14ac:dyDescent="0.3">
      <c r="A57" s="70"/>
      <c r="B57" s="73" t="s">
        <v>46</v>
      </c>
      <c r="C57" s="73"/>
      <c r="D57" s="72"/>
      <c r="E57" s="72"/>
      <c r="G57" s="70"/>
      <c r="H57" s="73" t="s">
        <v>95</v>
      </c>
      <c r="I57" s="73"/>
      <c r="J57" s="70"/>
      <c r="K57" s="70"/>
      <c r="M57" s="12"/>
      <c r="N57" s="15"/>
      <c r="P57" s="61"/>
      <c r="Q57" s="61"/>
      <c r="T57" s="56"/>
      <c r="U57" s="32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</row>
    <row r="58" spans="1:52" s="11" customFormat="1" ht="17.100000000000001" customHeight="1" thickBot="1" x14ac:dyDescent="0.3">
      <c r="A58" s="70">
        <v>21</v>
      </c>
      <c r="B58" s="73" t="s">
        <v>47</v>
      </c>
      <c r="C58" s="73"/>
      <c r="D58" s="72"/>
      <c r="E58" s="72"/>
      <c r="G58" s="70"/>
      <c r="H58" s="73" t="s">
        <v>96</v>
      </c>
      <c r="I58" s="73"/>
      <c r="J58" s="70"/>
      <c r="K58" s="70"/>
      <c r="M58" s="86" t="s">
        <v>174</v>
      </c>
      <c r="N58" s="86"/>
      <c r="O58" s="86"/>
      <c r="P58" s="86"/>
      <c r="Q58" s="86"/>
      <c r="T58" s="56"/>
      <c r="U58" s="32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</row>
    <row r="59" spans="1:52" s="11" customFormat="1" ht="17.100000000000001" customHeight="1" thickBot="1" x14ac:dyDescent="0.3">
      <c r="A59" s="70"/>
      <c r="B59" s="73" t="s">
        <v>48</v>
      </c>
      <c r="C59" s="73"/>
      <c r="D59" s="72"/>
      <c r="E59" s="72"/>
      <c r="G59" s="70"/>
      <c r="H59" s="73" t="s">
        <v>97</v>
      </c>
      <c r="I59" s="73"/>
      <c r="J59" s="70"/>
      <c r="K59" s="70"/>
      <c r="M59" s="86"/>
      <c r="N59" s="86"/>
      <c r="O59" s="86"/>
      <c r="P59" s="86"/>
      <c r="Q59" s="86"/>
      <c r="T59" s="56"/>
      <c r="U59" s="32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</row>
    <row r="60" spans="1:52" s="11" customFormat="1" ht="17.100000000000001" customHeight="1" thickBot="1" x14ac:dyDescent="0.3">
      <c r="A60" s="70"/>
      <c r="B60" s="73" t="s">
        <v>49</v>
      </c>
      <c r="C60" s="73"/>
      <c r="D60" s="72"/>
      <c r="E60" s="72"/>
      <c r="G60" s="70"/>
      <c r="H60" s="73" t="s">
        <v>98</v>
      </c>
      <c r="I60" s="73"/>
      <c r="J60" s="70"/>
      <c r="K60" s="70"/>
      <c r="M60" s="68"/>
      <c r="N60" s="69"/>
      <c r="O60" s="69"/>
      <c r="P60" s="68"/>
      <c r="Q60" s="68"/>
      <c r="T60" s="56"/>
      <c r="U60" s="32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</row>
    <row r="61" spans="1:52" s="11" customFormat="1" ht="17.100000000000001" customHeight="1" thickBot="1" x14ac:dyDescent="0.3">
      <c r="A61" s="70"/>
      <c r="B61" s="73" t="s">
        <v>50</v>
      </c>
      <c r="C61" s="73"/>
      <c r="D61" s="72"/>
      <c r="E61" s="72"/>
      <c r="G61" s="70"/>
      <c r="H61" s="73" t="s">
        <v>99</v>
      </c>
      <c r="I61" s="73"/>
      <c r="J61" s="70"/>
      <c r="K61" s="70"/>
      <c r="M61" s="68"/>
      <c r="N61" s="69"/>
      <c r="O61" s="69"/>
      <c r="P61" s="68"/>
      <c r="Q61" s="68"/>
      <c r="T61" s="56"/>
      <c r="U61" s="32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</row>
    <row r="62" spans="1:52" s="11" customFormat="1" ht="17.100000000000001" customHeight="1" thickBot="1" x14ac:dyDescent="0.3">
      <c r="A62" s="70"/>
      <c r="B62" s="73" t="s">
        <v>51</v>
      </c>
      <c r="C62" s="73"/>
      <c r="D62" s="72"/>
      <c r="E62" s="72"/>
      <c r="G62" s="70"/>
      <c r="H62" s="73" t="s">
        <v>100</v>
      </c>
      <c r="I62" s="73"/>
      <c r="J62" s="70"/>
      <c r="K62" s="70"/>
      <c r="M62" s="87" t="s">
        <v>177</v>
      </c>
      <c r="N62" s="87"/>
      <c r="O62" s="87"/>
      <c r="P62" s="87"/>
      <c r="Q62" s="87"/>
      <c r="T62" s="56"/>
      <c r="U62" s="32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</row>
    <row r="63" spans="1:52" ht="6" customHeight="1" x14ac:dyDescent="0.25">
      <c r="M63" s="61"/>
      <c r="N63" s="61"/>
      <c r="O63" s="61"/>
      <c r="P63" s="61"/>
      <c r="Q63" s="61"/>
    </row>
    <row r="64" spans="1:52" x14ac:dyDescent="0.25">
      <c r="B64" s="4"/>
      <c r="E64" s="18"/>
      <c r="F64" s="3"/>
      <c r="H64" s="2"/>
      <c r="M64" s="61"/>
      <c r="P64" s="61"/>
      <c r="Q64" s="61"/>
    </row>
    <row r="65" spans="2:8" x14ac:dyDescent="0.25">
      <c r="B65" s="2"/>
      <c r="H65" s="2"/>
    </row>
    <row r="66" spans="2:8" x14ac:dyDescent="0.25">
      <c r="B66" s="2"/>
      <c r="H66" s="2"/>
    </row>
  </sheetData>
  <mergeCells count="250">
    <mergeCell ref="B54:C54"/>
    <mergeCell ref="H54:I54"/>
    <mergeCell ref="H60:I60"/>
    <mergeCell ref="B61:C61"/>
    <mergeCell ref="H61:I61"/>
    <mergeCell ref="B62:C62"/>
    <mergeCell ref="H62:I62"/>
    <mergeCell ref="M62:Q62"/>
    <mergeCell ref="A58:A62"/>
    <mergeCell ref="B58:C58"/>
    <mergeCell ref="D58:D62"/>
    <mergeCell ref="E58:E62"/>
    <mergeCell ref="H58:I58"/>
    <mergeCell ref="M58:Q58"/>
    <mergeCell ref="B59:C59"/>
    <mergeCell ref="H59:I59"/>
    <mergeCell ref="M59:Q59"/>
    <mergeCell ref="B60:C60"/>
    <mergeCell ref="A55:A57"/>
    <mergeCell ref="B55:C55"/>
    <mergeCell ref="D55:D57"/>
    <mergeCell ref="E55:E57"/>
    <mergeCell ref="H55:I55"/>
    <mergeCell ref="Q51:Q52"/>
    <mergeCell ref="A52:A54"/>
    <mergeCell ref="B52:C52"/>
    <mergeCell ref="D52:D54"/>
    <mergeCell ref="E52:E54"/>
    <mergeCell ref="G52:G62"/>
    <mergeCell ref="H52:I52"/>
    <mergeCell ref="J52:J62"/>
    <mergeCell ref="K52:K62"/>
    <mergeCell ref="B53:C53"/>
    <mergeCell ref="A49:A51"/>
    <mergeCell ref="Q14:Q50"/>
    <mergeCell ref="M55:Q55"/>
    <mergeCell ref="B56:C56"/>
    <mergeCell ref="H56:I56"/>
    <mergeCell ref="M56:Q56"/>
    <mergeCell ref="B57:C57"/>
    <mergeCell ref="H57:I57"/>
    <mergeCell ref="H53:I53"/>
    <mergeCell ref="B51:C51"/>
    <mergeCell ref="H51:I51"/>
    <mergeCell ref="M51:O52"/>
    <mergeCell ref="P51:P52"/>
    <mergeCell ref="B48:C48"/>
    <mergeCell ref="P14:P50"/>
    <mergeCell ref="B15:C15"/>
    <mergeCell ref="H15:I15"/>
    <mergeCell ref="B16:C16"/>
    <mergeCell ref="H16:I16"/>
    <mergeCell ref="H46:I46"/>
    <mergeCell ref="N46:O46"/>
    <mergeCell ref="H43:I43"/>
    <mergeCell ref="J43:J51"/>
    <mergeCell ref="N39:O39"/>
    <mergeCell ref="B46:C46"/>
    <mergeCell ref="E35:E36"/>
    <mergeCell ref="H35:I35"/>
    <mergeCell ref="N35:O35"/>
    <mergeCell ref="B36:C36"/>
    <mergeCell ref="N32:O32"/>
    <mergeCell ref="H50:I50"/>
    <mergeCell ref="N50:O50"/>
    <mergeCell ref="B43:C43"/>
    <mergeCell ref="G43:G51"/>
    <mergeCell ref="H48:I48"/>
    <mergeCell ref="N48:O48"/>
    <mergeCell ref="B49:C49"/>
    <mergeCell ref="D49:D51"/>
    <mergeCell ref="E49:E51"/>
    <mergeCell ref="H49:I49"/>
    <mergeCell ref="N49:O49"/>
    <mergeCell ref="B50:C50"/>
    <mergeCell ref="N40:O40"/>
    <mergeCell ref="B41:C41"/>
    <mergeCell ref="H41:I41"/>
    <mergeCell ref="N41:O41"/>
    <mergeCell ref="A47:A48"/>
    <mergeCell ref="B47:C47"/>
    <mergeCell ref="D47:D48"/>
    <mergeCell ref="E47:E48"/>
    <mergeCell ref="H47:I47"/>
    <mergeCell ref="N47:O47"/>
    <mergeCell ref="K43:K51"/>
    <mergeCell ref="N43:O43"/>
    <mergeCell ref="A44:A46"/>
    <mergeCell ref="B44:C44"/>
    <mergeCell ref="D44:D46"/>
    <mergeCell ref="E44:E46"/>
    <mergeCell ref="H44:I44"/>
    <mergeCell ref="N44:O44"/>
    <mergeCell ref="B45:C45"/>
    <mergeCell ref="H45:I45"/>
    <mergeCell ref="A42:A43"/>
    <mergeCell ref="B42:C42"/>
    <mergeCell ref="D42:D43"/>
    <mergeCell ref="E42:E43"/>
    <mergeCell ref="A37:A39"/>
    <mergeCell ref="B37:C37"/>
    <mergeCell ref="D37:D39"/>
    <mergeCell ref="E37:E39"/>
    <mergeCell ref="H37:I37"/>
    <mergeCell ref="N37:O37"/>
    <mergeCell ref="B38:C38"/>
    <mergeCell ref="H38:I38"/>
    <mergeCell ref="N45:O45"/>
    <mergeCell ref="N38:O38"/>
    <mergeCell ref="B39:C39"/>
    <mergeCell ref="G36:G42"/>
    <mergeCell ref="H36:I36"/>
    <mergeCell ref="J36:J42"/>
    <mergeCell ref="K36:K42"/>
    <mergeCell ref="N36:O36"/>
    <mergeCell ref="H39:I39"/>
    <mergeCell ref="H42:I42"/>
    <mergeCell ref="N42:O42"/>
    <mergeCell ref="A40:A41"/>
    <mergeCell ref="B40:C40"/>
    <mergeCell ref="D40:D41"/>
    <mergeCell ref="E40:E41"/>
    <mergeCell ref="H40:I40"/>
    <mergeCell ref="N33:O33"/>
    <mergeCell ref="B34:C34"/>
    <mergeCell ref="H34:I34"/>
    <mergeCell ref="N34:O34"/>
    <mergeCell ref="J30:J35"/>
    <mergeCell ref="K30:K35"/>
    <mergeCell ref="N30:O30"/>
    <mergeCell ref="B31:C31"/>
    <mergeCell ref="H31:I31"/>
    <mergeCell ref="N31:O31"/>
    <mergeCell ref="B32:C32"/>
    <mergeCell ref="D32:D34"/>
    <mergeCell ref="E32:E34"/>
    <mergeCell ref="H32:I32"/>
    <mergeCell ref="A30:A31"/>
    <mergeCell ref="B30:C30"/>
    <mergeCell ref="D30:D31"/>
    <mergeCell ref="E30:E31"/>
    <mergeCell ref="G30:G35"/>
    <mergeCell ref="H30:I30"/>
    <mergeCell ref="A32:A34"/>
    <mergeCell ref="A35:A36"/>
    <mergeCell ref="B35:C35"/>
    <mergeCell ref="D35:D36"/>
    <mergeCell ref="B33:C33"/>
    <mergeCell ref="H33:I33"/>
    <mergeCell ref="A26:A27"/>
    <mergeCell ref="B26:C26"/>
    <mergeCell ref="D26:D27"/>
    <mergeCell ref="E26:E27"/>
    <mergeCell ref="H26:I26"/>
    <mergeCell ref="N26:O26"/>
    <mergeCell ref="B27:C27"/>
    <mergeCell ref="H27:I27"/>
    <mergeCell ref="N27:O27"/>
    <mergeCell ref="G25:G29"/>
    <mergeCell ref="H25:I25"/>
    <mergeCell ref="J25:J29"/>
    <mergeCell ref="K25:K29"/>
    <mergeCell ref="N25:O25"/>
    <mergeCell ref="A28:A29"/>
    <mergeCell ref="B28:C28"/>
    <mergeCell ref="D28:D29"/>
    <mergeCell ref="E28:E29"/>
    <mergeCell ref="H28:I28"/>
    <mergeCell ref="N28:O28"/>
    <mergeCell ref="B29:C29"/>
    <mergeCell ref="H29:I29"/>
    <mergeCell ref="N29:O29"/>
    <mergeCell ref="B21:C21"/>
    <mergeCell ref="H21:I21"/>
    <mergeCell ref="N21:O21"/>
    <mergeCell ref="A22:A23"/>
    <mergeCell ref="B22:C22"/>
    <mergeCell ref="D22:D23"/>
    <mergeCell ref="E22:E23"/>
    <mergeCell ref="G22:G24"/>
    <mergeCell ref="H22:I22"/>
    <mergeCell ref="J22:J24"/>
    <mergeCell ref="N24:O24"/>
    <mergeCell ref="K22:K24"/>
    <mergeCell ref="N22:O22"/>
    <mergeCell ref="B23:C23"/>
    <mergeCell ref="H23:I23"/>
    <mergeCell ref="N23:O23"/>
    <mergeCell ref="A24:A25"/>
    <mergeCell ref="B24:C24"/>
    <mergeCell ref="D24:D25"/>
    <mergeCell ref="E24:E25"/>
    <mergeCell ref="H24:I24"/>
    <mergeCell ref="B25:C25"/>
    <mergeCell ref="A19:A20"/>
    <mergeCell ref="B19:C19"/>
    <mergeCell ref="D19:D20"/>
    <mergeCell ref="E19:E20"/>
    <mergeCell ref="H19:I19"/>
    <mergeCell ref="N19:O19"/>
    <mergeCell ref="B20:C20"/>
    <mergeCell ref="H20:I20"/>
    <mergeCell ref="N20:O20"/>
    <mergeCell ref="A17:A18"/>
    <mergeCell ref="B17:C17"/>
    <mergeCell ref="D17:D18"/>
    <mergeCell ref="E17:E18"/>
    <mergeCell ref="H17:I17"/>
    <mergeCell ref="N17:O17"/>
    <mergeCell ref="B18:C18"/>
    <mergeCell ref="G18:G21"/>
    <mergeCell ref="H18:I18"/>
    <mergeCell ref="J18:J21"/>
    <mergeCell ref="J14:J17"/>
    <mergeCell ref="K14:K17"/>
    <mergeCell ref="M14:M50"/>
    <mergeCell ref="N14:O14"/>
    <mergeCell ref="N15:O15"/>
    <mergeCell ref="N16:O16"/>
    <mergeCell ref="K18:K21"/>
    <mergeCell ref="N18:O18"/>
    <mergeCell ref="A14:A15"/>
    <mergeCell ref="B14:C14"/>
    <mergeCell ref="D14:D15"/>
    <mergeCell ref="E14:E15"/>
    <mergeCell ref="G14:G17"/>
    <mergeCell ref="H14:I14"/>
    <mergeCell ref="U11:U12"/>
    <mergeCell ref="V11:AY11"/>
    <mergeCell ref="AZ11:AZ12"/>
    <mergeCell ref="A8:B8"/>
    <mergeCell ref="M8:N8"/>
    <mergeCell ref="A9:B9"/>
    <mergeCell ref="M9:N9"/>
    <mergeCell ref="A11:A12"/>
    <mergeCell ref="B11:C12"/>
    <mergeCell ref="D11:E11"/>
    <mergeCell ref="G11:G12"/>
    <mergeCell ref="H11:I12"/>
    <mergeCell ref="J11:K11"/>
    <mergeCell ref="A1:Q1"/>
    <mergeCell ref="A2:Q2"/>
    <mergeCell ref="A3:Q3"/>
    <mergeCell ref="A4:Q4"/>
    <mergeCell ref="A6:Q6"/>
    <mergeCell ref="A7:B7"/>
    <mergeCell ref="M7:N7"/>
    <mergeCell ref="M11:M12"/>
    <mergeCell ref="N11:O12"/>
    <mergeCell ref="P11:Q11"/>
  </mergeCells>
  <pageMargins left="0.35" right="0.25" top="0.31" bottom="0.74803149606299213" header="0.31496062992125984" footer="0.31496062992125984"/>
  <pageSetup paperSize="5" scale="85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6"/>
  <sheetViews>
    <sheetView topLeftCell="A40" zoomScaleNormal="100" workbookViewId="0">
      <selection activeCell="U52" sqref="U52"/>
    </sheetView>
  </sheetViews>
  <sheetFormatPr defaultRowHeight="15" x14ac:dyDescent="0.25"/>
  <cols>
    <col min="1" max="1" width="4.7109375" style="56" customWidth="1"/>
    <col min="2" max="2" width="18.7109375" customWidth="1"/>
    <col min="3" max="3" width="4.7109375" customWidth="1"/>
    <col min="4" max="5" width="4.7109375" style="56" customWidth="1"/>
    <col min="6" max="6" width="2.28515625" customWidth="1"/>
    <col min="7" max="7" width="4.7109375" style="56" customWidth="1"/>
    <col min="8" max="8" width="18.7109375" customWidth="1"/>
    <col min="9" max="9" width="4.7109375" customWidth="1"/>
    <col min="10" max="11" width="4.7109375" style="56" customWidth="1"/>
    <col min="12" max="12" width="2.28515625" customWidth="1"/>
    <col min="13" max="13" width="4.7109375" style="56" customWidth="1"/>
    <col min="14" max="15" width="10.7109375" customWidth="1"/>
    <col min="16" max="17" width="4.7109375" style="56" customWidth="1"/>
    <col min="20" max="20" width="4.42578125" style="5" customWidth="1"/>
    <col min="21" max="21" width="12.28515625" style="31" customWidth="1"/>
    <col min="22" max="39" width="4.7109375" style="56" customWidth="1"/>
    <col min="40" max="51" width="4.7109375" style="5" customWidth="1"/>
    <col min="52" max="52" width="9.140625" style="5"/>
  </cols>
  <sheetData>
    <row r="1" spans="1:52" ht="25.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52" ht="21" customHeight="1" x14ac:dyDescent="0.25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52" ht="18" customHeight="1" x14ac:dyDescent="0.25">
      <c r="A3" s="77" t="s">
        <v>158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52" ht="15" customHeight="1" x14ac:dyDescent="0.25">
      <c r="A4" s="78" t="s">
        <v>159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52" ht="24.75" customHeight="1" x14ac:dyDescent="0.25"/>
    <row r="6" spans="1:52" ht="20.100000000000001" customHeight="1" x14ac:dyDescent="0.3">
      <c r="A6" s="79" t="s">
        <v>138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</row>
    <row r="7" spans="1:52" ht="15" customHeight="1" x14ac:dyDescent="0.25">
      <c r="A7" s="91" t="s">
        <v>154</v>
      </c>
      <c r="B7" s="91"/>
      <c r="C7" s="9" t="s">
        <v>183</v>
      </c>
      <c r="D7" s="51"/>
      <c r="E7" s="51"/>
      <c r="F7" s="56"/>
      <c r="J7" s="51"/>
      <c r="M7" s="92" t="s">
        <v>139</v>
      </c>
      <c r="N7" s="92"/>
      <c r="O7" s="10" t="s">
        <v>155</v>
      </c>
    </row>
    <row r="8" spans="1:52" ht="15" customHeight="1" x14ac:dyDescent="0.25">
      <c r="A8" s="91" t="s">
        <v>140</v>
      </c>
      <c r="B8" s="91"/>
      <c r="C8" s="9">
        <v>2101108</v>
      </c>
      <c r="D8" s="51"/>
      <c r="E8" s="51"/>
      <c r="F8" s="56"/>
      <c r="J8" s="51"/>
      <c r="M8" s="92" t="s">
        <v>141</v>
      </c>
      <c r="N8" s="92"/>
      <c r="O8" s="10" t="s">
        <v>176</v>
      </c>
    </row>
    <row r="9" spans="1:52" ht="15" customHeight="1" x14ac:dyDescent="0.25">
      <c r="A9" s="91" t="s">
        <v>173</v>
      </c>
      <c r="B9" s="91"/>
      <c r="C9" s="38" t="s">
        <v>160</v>
      </c>
      <c r="D9" s="51"/>
      <c r="E9" s="51"/>
      <c r="F9" s="56"/>
      <c r="I9" s="8"/>
      <c r="J9" s="51"/>
      <c r="K9" s="6"/>
      <c r="L9" s="8"/>
      <c r="M9" s="92" t="s">
        <v>142</v>
      </c>
      <c r="N9" s="92"/>
      <c r="O9" s="10" t="s">
        <v>156</v>
      </c>
      <c r="P9" s="6"/>
      <c r="Q9" s="6"/>
    </row>
    <row r="10" spans="1:52" ht="4.5" customHeight="1" thickBot="1" x14ac:dyDescent="0.3"/>
    <row r="11" spans="1:52" ht="16.5" thickTop="1" thickBot="1" x14ac:dyDescent="0.3">
      <c r="A11" s="81" t="s">
        <v>0</v>
      </c>
      <c r="B11" s="81" t="s">
        <v>1</v>
      </c>
      <c r="C11" s="81"/>
      <c r="D11" s="81" t="s">
        <v>2</v>
      </c>
      <c r="E11" s="81"/>
      <c r="F11" s="19"/>
      <c r="G11" s="81" t="s">
        <v>0</v>
      </c>
      <c r="H11" s="81" t="s">
        <v>1</v>
      </c>
      <c r="I11" s="81"/>
      <c r="J11" s="81" t="s">
        <v>2</v>
      </c>
      <c r="K11" s="81"/>
      <c r="L11" s="19"/>
      <c r="M11" s="81" t="s">
        <v>0</v>
      </c>
      <c r="N11" s="81" t="s">
        <v>1</v>
      </c>
      <c r="O11" s="81"/>
      <c r="P11" s="81" t="s">
        <v>2</v>
      </c>
      <c r="Q11" s="81"/>
      <c r="U11" s="89"/>
      <c r="V11" s="88" t="s">
        <v>153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 t="s">
        <v>146</v>
      </c>
    </row>
    <row r="12" spans="1:52" ht="12" customHeight="1" thickTop="1" thickBot="1" x14ac:dyDescent="0.3">
      <c r="A12" s="81"/>
      <c r="B12" s="81"/>
      <c r="C12" s="81"/>
      <c r="D12" s="53" t="s">
        <v>143</v>
      </c>
      <c r="E12" s="53" t="s">
        <v>144</v>
      </c>
      <c r="F12" s="19"/>
      <c r="G12" s="81"/>
      <c r="H12" s="81"/>
      <c r="I12" s="81"/>
      <c r="J12" s="53" t="s">
        <v>143</v>
      </c>
      <c r="K12" s="53" t="s">
        <v>144</v>
      </c>
      <c r="L12" s="19"/>
      <c r="M12" s="81"/>
      <c r="N12" s="81"/>
      <c r="O12" s="81"/>
      <c r="P12" s="53" t="s">
        <v>143</v>
      </c>
      <c r="Q12" s="53" t="s">
        <v>144</v>
      </c>
      <c r="U12" s="90"/>
      <c r="V12" s="52">
        <v>1</v>
      </c>
      <c r="W12" s="52">
        <v>2</v>
      </c>
      <c r="X12" s="52">
        <v>3</v>
      </c>
      <c r="Y12" s="52">
        <v>4</v>
      </c>
      <c r="Z12" s="52">
        <v>5</v>
      </c>
      <c r="AA12" s="52">
        <v>6</v>
      </c>
      <c r="AB12" s="52">
        <v>7</v>
      </c>
      <c r="AC12" s="52">
        <v>8</v>
      </c>
      <c r="AD12" s="52">
        <v>9</v>
      </c>
      <c r="AE12" s="52">
        <v>10</v>
      </c>
      <c r="AF12" s="52">
        <v>11</v>
      </c>
      <c r="AG12" s="52">
        <v>12</v>
      </c>
      <c r="AH12" s="52">
        <v>13</v>
      </c>
      <c r="AI12" s="52">
        <v>14</v>
      </c>
      <c r="AJ12" s="52">
        <v>15</v>
      </c>
      <c r="AK12" s="52">
        <v>16</v>
      </c>
      <c r="AL12" s="52">
        <v>17</v>
      </c>
      <c r="AM12" s="52">
        <v>18</v>
      </c>
      <c r="AN12" s="52">
        <v>19</v>
      </c>
      <c r="AO12" s="52">
        <v>20</v>
      </c>
      <c r="AP12" s="52">
        <v>21</v>
      </c>
      <c r="AQ12" s="52">
        <v>22</v>
      </c>
      <c r="AR12" s="52">
        <v>23</v>
      </c>
      <c r="AS12" s="52">
        <v>24</v>
      </c>
      <c r="AT12" s="52">
        <v>25</v>
      </c>
      <c r="AU12" s="52">
        <v>26</v>
      </c>
      <c r="AV12" s="52">
        <v>27</v>
      </c>
      <c r="AW12" s="52">
        <v>28</v>
      </c>
      <c r="AX12" s="52">
        <v>29</v>
      </c>
      <c r="AY12" s="52">
        <v>30</v>
      </c>
      <c r="AZ12" s="88"/>
    </row>
    <row r="13" spans="1:52" ht="3.75" customHeight="1" thickTop="1" thickBot="1" x14ac:dyDescent="0.3"/>
    <row r="14" spans="1:52" s="11" customFormat="1" ht="17.100000000000001" customHeight="1" thickBot="1" x14ac:dyDescent="0.3">
      <c r="A14" s="70">
        <v>1</v>
      </c>
      <c r="B14" s="73" t="s">
        <v>3</v>
      </c>
      <c r="C14" s="73"/>
      <c r="D14" s="72"/>
      <c r="E14" s="72"/>
      <c r="G14" s="70">
        <v>22</v>
      </c>
      <c r="H14" s="73" t="s">
        <v>52</v>
      </c>
      <c r="I14" s="73"/>
      <c r="J14" s="72"/>
      <c r="K14" s="72"/>
      <c r="M14" s="70">
        <v>30</v>
      </c>
      <c r="N14" s="93" t="s">
        <v>101</v>
      </c>
      <c r="O14" s="93"/>
      <c r="P14" s="70">
        <v>64</v>
      </c>
      <c r="Q14" s="70">
        <v>60</v>
      </c>
      <c r="T14" s="56"/>
      <c r="U14" s="34" t="s">
        <v>151</v>
      </c>
      <c r="V14" s="52">
        <f>D14</f>
        <v>0</v>
      </c>
      <c r="W14" s="52">
        <f>D16</f>
        <v>0</v>
      </c>
      <c r="X14" s="52">
        <f>D17</f>
        <v>0</v>
      </c>
      <c r="Y14" s="52">
        <f>D19</f>
        <v>0</v>
      </c>
      <c r="Z14" s="52">
        <f>D21</f>
        <v>0</v>
      </c>
      <c r="AA14" s="52">
        <f>D22</f>
        <v>0</v>
      </c>
      <c r="AB14" s="52">
        <f>D24</f>
        <v>0</v>
      </c>
      <c r="AC14" s="52">
        <f>D26</f>
        <v>0</v>
      </c>
      <c r="AD14" s="52">
        <f>D28</f>
        <v>0</v>
      </c>
      <c r="AE14" s="52">
        <f>D30</f>
        <v>0</v>
      </c>
      <c r="AF14" s="52">
        <f>D32</f>
        <v>0</v>
      </c>
      <c r="AG14" s="52">
        <f>D35</f>
        <v>0</v>
      </c>
      <c r="AH14" s="52">
        <f>D37</f>
        <v>0</v>
      </c>
      <c r="AI14" s="52">
        <f>D40</f>
        <v>0</v>
      </c>
      <c r="AJ14" s="52">
        <f>D42</f>
        <v>0</v>
      </c>
      <c r="AK14" s="52">
        <f>D44</f>
        <v>0</v>
      </c>
      <c r="AL14" s="52">
        <f>D47</f>
        <v>0</v>
      </c>
      <c r="AM14" s="52">
        <f>D49</f>
        <v>0</v>
      </c>
      <c r="AN14" s="52">
        <f>D52</f>
        <v>0</v>
      </c>
      <c r="AO14" s="52">
        <f>D55</f>
        <v>0</v>
      </c>
      <c r="AP14" s="52">
        <f>D58</f>
        <v>0</v>
      </c>
      <c r="AQ14" s="52">
        <f>J14</f>
        <v>0</v>
      </c>
      <c r="AR14" s="52">
        <f>J18</f>
        <v>0</v>
      </c>
      <c r="AS14" s="52">
        <f>J22</f>
        <v>0</v>
      </c>
      <c r="AT14" s="52">
        <f>J25</f>
        <v>0</v>
      </c>
      <c r="AU14" s="52">
        <f>J30</f>
        <v>0</v>
      </c>
      <c r="AV14" s="52">
        <f>J36</f>
        <v>0</v>
      </c>
      <c r="AW14" s="52">
        <f>J43</f>
        <v>0</v>
      </c>
      <c r="AX14" s="52">
        <f>J52</f>
        <v>59</v>
      </c>
      <c r="AY14" s="52">
        <f>P14</f>
        <v>64</v>
      </c>
      <c r="AZ14" s="35">
        <f>AVERAGEIF(V14:AY14,"&gt;0")</f>
        <v>61.5</v>
      </c>
    </row>
    <row r="15" spans="1:52" s="11" customFormat="1" ht="17.100000000000001" customHeight="1" thickBot="1" x14ac:dyDescent="0.3">
      <c r="A15" s="70"/>
      <c r="B15" s="73" t="s">
        <v>4</v>
      </c>
      <c r="C15" s="73"/>
      <c r="D15" s="72"/>
      <c r="E15" s="72"/>
      <c r="G15" s="70"/>
      <c r="H15" s="73" t="s">
        <v>53</v>
      </c>
      <c r="I15" s="73"/>
      <c r="J15" s="72"/>
      <c r="K15" s="72"/>
      <c r="M15" s="70"/>
      <c r="N15" s="93" t="s">
        <v>102</v>
      </c>
      <c r="O15" s="93"/>
      <c r="P15" s="70"/>
      <c r="Q15" s="70"/>
      <c r="T15" s="56"/>
      <c r="U15" s="34" t="s">
        <v>152</v>
      </c>
      <c r="V15" s="52">
        <f>E14</f>
        <v>0</v>
      </c>
      <c r="W15" s="52">
        <f>E16</f>
        <v>0</v>
      </c>
      <c r="X15" s="52">
        <f>E17</f>
        <v>0</v>
      </c>
      <c r="Y15" s="52">
        <f>E19</f>
        <v>0</v>
      </c>
      <c r="Z15" s="52">
        <f>E21</f>
        <v>0</v>
      </c>
      <c r="AA15" s="52">
        <f>E22</f>
        <v>0</v>
      </c>
      <c r="AB15" s="52">
        <f>E24</f>
        <v>0</v>
      </c>
      <c r="AC15" s="52">
        <f>E26</f>
        <v>0</v>
      </c>
      <c r="AD15" s="52">
        <f>E28</f>
        <v>0</v>
      </c>
      <c r="AE15" s="52">
        <f>E30</f>
        <v>0</v>
      </c>
      <c r="AF15" s="52">
        <f>E32</f>
        <v>0</v>
      </c>
      <c r="AG15" s="52">
        <f>E35</f>
        <v>0</v>
      </c>
      <c r="AH15" s="52">
        <f>E37</f>
        <v>0</v>
      </c>
      <c r="AI15" s="52">
        <f>E40</f>
        <v>0</v>
      </c>
      <c r="AJ15" s="52">
        <f>E42</f>
        <v>0</v>
      </c>
      <c r="AK15" s="52">
        <f>E44</f>
        <v>0</v>
      </c>
      <c r="AL15" s="52">
        <f>E47</f>
        <v>0</v>
      </c>
      <c r="AM15" s="52">
        <f>E49</f>
        <v>0</v>
      </c>
      <c r="AN15" s="52">
        <f>E52</f>
        <v>0</v>
      </c>
      <c r="AO15" s="52">
        <f>E55</f>
        <v>0</v>
      </c>
      <c r="AP15" s="52">
        <f>E58</f>
        <v>0</v>
      </c>
      <c r="AQ15" s="52">
        <f>K14</f>
        <v>0</v>
      </c>
      <c r="AR15" s="52">
        <f>K18</f>
        <v>0</v>
      </c>
      <c r="AS15" s="52">
        <f>K22</f>
        <v>0</v>
      </c>
      <c r="AT15" s="52">
        <f>K25</f>
        <v>0</v>
      </c>
      <c r="AU15" s="52">
        <f>K30</f>
        <v>0</v>
      </c>
      <c r="AV15" s="52">
        <f>K36</f>
        <v>0</v>
      </c>
      <c r="AW15" s="52">
        <f>K43</f>
        <v>0</v>
      </c>
      <c r="AX15" s="52">
        <f>K52</f>
        <v>60</v>
      </c>
      <c r="AY15" s="52">
        <f>Q14</f>
        <v>60</v>
      </c>
      <c r="AZ15" s="35">
        <f>AVERAGEIF(V15:AY15,"&lt;&gt;0")</f>
        <v>60</v>
      </c>
    </row>
    <row r="16" spans="1:52" s="11" customFormat="1" ht="17.100000000000001" customHeight="1" thickBot="1" x14ac:dyDescent="0.3">
      <c r="A16" s="55">
        <v>2</v>
      </c>
      <c r="B16" s="73" t="s">
        <v>6</v>
      </c>
      <c r="C16" s="73"/>
      <c r="D16" s="54"/>
      <c r="E16" s="54"/>
      <c r="G16" s="70"/>
      <c r="H16" s="73" t="s">
        <v>54</v>
      </c>
      <c r="I16" s="73"/>
      <c r="J16" s="72"/>
      <c r="K16" s="72"/>
      <c r="M16" s="70"/>
      <c r="N16" s="73" t="s">
        <v>103</v>
      </c>
      <c r="O16" s="73"/>
      <c r="P16" s="70"/>
      <c r="Q16" s="70"/>
      <c r="T16" s="56"/>
      <c r="U16" s="32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s="11" customFormat="1" ht="17.100000000000001" customHeight="1" thickBot="1" x14ac:dyDescent="0.3">
      <c r="A17" s="70">
        <v>3</v>
      </c>
      <c r="B17" s="73" t="s">
        <v>5</v>
      </c>
      <c r="C17" s="73"/>
      <c r="D17" s="72"/>
      <c r="E17" s="72"/>
      <c r="G17" s="70"/>
      <c r="H17" s="73" t="s">
        <v>55</v>
      </c>
      <c r="I17" s="73"/>
      <c r="J17" s="72"/>
      <c r="K17" s="72"/>
      <c r="M17" s="70"/>
      <c r="N17" s="73" t="s">
        <v>104</v>
      </c>
      <c r="O17" s="73"/>
      <c r="P17" s="70"/>
      <c r="Q17" s="70"/>
      <c r="T17" s="56"/>
      <c r="U17" s="32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</row>
    <row r="18" spans="1:52" s="11" customFormat="1" ht="17.100000000000001" customHeight="1" thickBot="1" x14ac:dyDescent="0.3">
      <c r="A18" s="70"/>
      <c r="B18" s="73" t="s">
        <v>7</v>
      </c>
      <c r="C18" s="73"/>
      <c r="D18" s="72"/>
      <c r="E18" s="72"/>
      <c r="G18" s="70">
        <v>23</v>
      </c>
      <c r="H18" s="73" t="s">
        <v>56</v>
      </c>
      <c r="I18" s="73"/>
      <c r="J18" s="70"/>
      <c r="K18" s="70"/>
      <c r="M18" s="70"/>
      <c r="N18" s="73" t="s">
        <v>105</v>
      </c>
      <c r="O18" s="73"/>
      <c r="P18" s="70"/>
      <c r="Q18" s="70"/>
      <c r="T18" s="56"/>
      <c r="U18" s="32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</row>
    <row r="19" spans="1:52" s="11" customFormat="1" ht="17.100000000000001" customHeight="1" thickBot="1" x14ac:dyDescent="0.3">
      <c r="A19" s="70">
        <v>4</v>
      </c>
      <c r="B19" s="73" t="s">
        <v>8</v>
      </c>
      <c r="C19" s="73"/>
      <c r="D19" s="72"/>
      <c r="E19" s="70"/>
      <c r="G19" s="70"/>
      <c r="H19" s="73" t="s">
        <v>57</v>
      </c>
      <c r="I19" s="73"/>
      <c r="J19" s="70"/>
      <c r="K19" s="70"/>
      <c r="M19" s="70"/>
      <c r="N19" s="73" t="s">
        <v>106</v>
      </c>
      <c r="O19" s="73"/>
      <c r="P19" s="70"/>
      <c r="Q19" s="70"/>
      <c r="T19" s="56"/>
      <c r="U19" s="32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</row>
    <row r="20" spans="1:52" s="11" customFormat="1" ht="17.100000000000001" customHeight="1" thickBot="1" x14ac:dyDescent="0.3">
      <c r="A20" s="70"/>
      <c r="B20" s="73" t="s">
        <v>9</v>
      </c>
      <c r="C20" s="73"/>
      <c r="D20" s="72"/>
      <c r="E20" s="70"/>
      <c r="G20" s="70"/>
      <c r="H20" s="73" t="s">
        <v>58</v>
      </c>
      <c r="I20" s="73"/>
      <c r="J20" s="70"/>
      <c r="K20" s="70"/>
      <c r="M20" s="70"/>
      <c r="N20" s="73" t="s">
        <v>107</v>
      </c>
      <c r="O20" s="73"/>
      <c r="P20" s="70"/>
      <c r="Q20" s="70"/>
      <c r="T20" s="56"/>
      <c r="U20" s="32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</row>
    <row r="21" spans="1:52" s="11" customFormat="1" ht="17.100000000000001" customHeight="1" thickBot="1" x14ac:dyDescent="0.3">
      <c r="A21" s="55">
        <v>5</v>
      </c>
      <c r="B21" s="73" t="s">
        <v>10</v>
      </c>
      <c r="C21" s="73"/>
      <c r="D21" s="54"/>
      <c r="E21" s="54"/>
      <c r="G21" s="70"/>
      <c r="H21" s="73" t="s">
        <v>59</v>
      </c>
      <c r="I21" s="73"/>
      <c r="J21" s="70"/>
      <c r="K21" s="70"/>
      <c r="M21" s="70"/>
      <c r="N21" s="73" t="s">
        <v>108</v>
      </c>
      <c r="O21" s="73"/>
      <c r="P21" s="70"/>
      <c r="Q21" s="70"/>
      <c r="T21" s="56"/>
      <c r="U21" s="32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</row>
    <row r="22" spans="1:52" s="11" customFormat="1" ht="17.100000000000001" customHeight="1" thickBot="1" x14ac:dyDescent="0.3">
      <c r="A22" s="70">
        <v>6</v>
      </c>
      <c r="B22" s="73" t="s">
        <v>11</v>
      </c>
      <c r="C22" s="73"/>
      <c r="D22" s="72"/>
      <c r="E22" s="70"/>
      <c r="G22" s="70">
        <v>24</v>
      </c>
      <c r="H22" s="73" t="s">
        <v>60</v>
      </c>
      <c r="I22" s="73"/>
      <c r="J22" s="70"/>
      <c r="K22" s="70"/>
      <c r="M22" s="70"/>
      <c r="N22" s="73" t="s">
        <v>109</v>
      </c>
      <c r="O22" s="73"/>
      <c r="P22" s="70"/>
      <c r="Q22" s="70"/>
      <c r="T22" s="56"/>
      <c r="U22" s="32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</row>
    <row r="23" spans="1:52" s="11" customFormat="1" ht="17.100000000000001" customHeight="1" thickBot="1" x14ac:dyDescent="0.3">
      <c r="A23" s="70"/>
      <c r="B23" s="73" t="s">
        <v>12</v>
      </c>
      <c r="C23" s="73"/>
      <c r="D23" s="72"/>
      <c r="E23" s="70"/>
      <c r="G23" s="70"/>
      <c r="H23" s="73" t="s">
        <v>61</v>
      </c>
      <c r="I23" s="73"/>
      <c r="J23" s="70"/>
      <c r="K23" s="70"/>
      <c r="M23" s="70"/>
      <c r="N23" s="73" t="s">
        <v>110</v>
      </c>
      <c r="O23" s="73"/>
      <c r="P23" s="70"/>
      <c r="Q23" s="70"/>
      <c r="T23" s="56"/>
      <c r="U23" s="32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</row>
    <row r="24" spans="1:52" s="11" customFormat="1" ht="17.100000000000001" customHeight="1" thickBot="1" x14ac:dyDescent="0.3">
      <c r="A24" s="70">
        <v>7</v>
      </c>
      <c r="B24" s="73" t="s">
        <v>13</v>
      </c>
      <c r="C24" s="73"/>
      <c r="D24" s="70"/>
      <c r="E24" s="70"/>
      <c r="G24" s="70"/>
      <c r="H24" s="73" t="s">
        <v>62</v>
      </c>
      <c r="I24" s="73"/>
      <c r="J24" s="70"/>
      <c r="K24" s="70"/>
      <c r="M24" s="70"/>
      <c r="N24" s="73" t="s">
        <v>111</v>
      </c>
      <c r="O24" s="73"/>
      <c r="P24" s="70"/>
      <c r="Q24" s="70"/>
      <c r="T24" s="56"/>
      <c r="U24" s="32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</row>
    <row r="25" spans="1:52" s="11" customFormat="1" ht="17.100000000000001" customHeight="1" thickBot="1" x14ac:dyDescent="0.3">
      <c r="A25" s="70"/>
      <c r="B25" s="73" t="s">
        <v>14</v>
      </c>
      <c r="C25" s="73"/>
      <c r="D25" s="70"/>
      <c r="E25" s="70"/>
      <c r="G25" s="70">
        <v>25</v>
      </c>
      <c r="H25" s="73" t="s">
        <v>63</v>
      </c>
      <c r="I25" s="73"/>
      <c r="J25" s="70"/>
      <c r="K25" s="70"/>
      <c r="M25" s="70"/>
      <c r="N25" s="73" t="s">
        <v>112</v>
      </c>
      <c r="O25" s="73"/>
      <c r="P25" s="70"/>
      <c r="Q25" s="70"/>
      <c r="T25" s="56"/>
      <c r="U25" s="32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</row>
    <row r="26" spans="1:52" s="11" customFormat="1" ht="17.100000000000001" customHeight="1" thickBot="1" x14ac:dyDescent="0.3">
      <c r="A26" s="70">
        <v>8</v>
      </c>
      <c r="B26" s="73" t="s">
        <v>15</v>
      </c>
      <c r="C26" s="73"/>
      <c r="D26" s="70"/>
      <c r="E26" s="70"/>
      <c r="G26" s="70"/>
      <c r="H26" s="73" t="s">
        <v>64</v>
      </c>
      <c r="I26" s="73"/>
      <c r="J26" s="70"/>
      <c r="K26" s="70"/>
      <c r="M26" s="70"/>
      <c r="N26" s="73" t="s">
        <v>113</v>
      </c>
      <c r="O26" s="73"/>
      <c r="P26" s="70"/>
      <c r="Q26" s="70"/>
      <c r="T26" s="56"/>
      <c r="U26" s="32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</row>
    <row r="27" spans="1:52" s="11" customFormat="1" ht="17.100000000000001" customHeight="1" thickBot="1" x14ac:dyDescent="0.3">
      <c r="A27" s="70"/>
      <c r="B27" s="73" t="s">
        <v>16</v>
      </c>
      <c r="C27" s="73"/>
      <c r="D27" s="70"/>
      <c r="E27" s="70"/>
      <c r="G27" s="70"/>
      <c r="H27" s="73" t="s">
        <v>65</v>
      </c>
      <c r="I27" s="73"/>
      <c r="J27" s="70"/>
      <c r="K27" s="70"/>
      <c r="M27" s="70"/>
      <c r="N27" s="73" t="s">
        <v>114</v>
      </c>
      <c r="O27" s="73"/>
      <c r="P27" s="70"/>
      <c r="Q27" s="70"/>
      <c r="T27" s="56"/>
      <c r="U27" s="32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</row>
    <row r="28" spans="1:52" s="11" customFormat="1" ht="17.100000000000001" customHeight="1" thickBot="1" x14ac:dyDescent="0.3">
      <c r="A28" s="70">
        <v>9</v>
      </c>
      <c r="B28" s="73" t="s">
        <v>17</v>
      </c>
      <c r="C28" s="73"/>
      <c r="D28" s="70"/>
      <c r="E28" s="70"/>
      <c r="G28" s="70"/>
      <c r="H28" s="73" t="s">
        <v>66</v>
      </c>
      <c r="I28" s="73"/>
      <c r="J28" s="70"/>
      <c r="K28" s="70"/>
      <c r="M28" s="70"/>
      <c r="N28" s="73" t="s">
        <v>115</v>
      </c>
      <c r="O28" s="73"/>
      <c r="P28" s="70"/>
      <c r="Q28" s="70"/>
      <c r="T28" s="56"/>
      <c r="U28" s="32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</row>
    <row r="29" spans="1:52" s="11" customFormat="1" ht="17.100000000000001" customHeight="1" thickBot="1" x14ac:dyDescent="0.3">
      <c r="A29" s="70"/>
      <c r="B29" s="73" t="s">
        <v>18</v>
      </c>
      <c r="C29" s="73"/>
      <c r="D29" s="70"/>
      <c r="E29" s="70"/>
      <c r="G29" s="70"/>
      <c r="H29" s="73" t="s">
        <v>67</v>
      </c>
      <c r="I29" s="73"/>
      <c r="J29" s="70"/>
      <c r="K29" s="70"/>
      <c r="M29" s="70"/>
      <c r="N29" s="73" t="s">
        <v>116</v>
      </c>
      <c r="O29" s="73"/>
      <c r="P29" s="70"/>
      <c r="Q29" s="70"/>
      <c r="T29" s="56"/>
      <c r="U29" s="32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</row>
    <row r="30" spans="1:52" s="11" customFormat="1" ht="17.100000000000001" customHeight="1" thickBot="1" x14ac:dyDescent="0.3">
      <c r="A30" s="70">
        <v>10</v>
      </c>
      <c r="B30" s="73" t="s">
        <v>19</v>
      </c>
      <c r="C30" s="73"/>
      <c r="D30" s="70"/>
      <c r="E30" s="70"/>
      <c r="G30" s="70">
        <v>26</v>
      </c>
      <c r="H30" s="73" t="s">
        <v>68</v>
      </c>
      <c r="I30" s="73"/>
      <c r="J30" s="70"/>
      <c r="K30" s="70"/>
      <c r="M30" s="70"/>
      <c r="N30" s="73" t="s">
        <v>117</v>
      </c>
      <c r="O30" s="73"/>
      <c r="P30" s="70"/>
      <c r="Q30" s="70"/>
      <c r="T30" s="56"/>
      <c r="U30" s="32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52" s="11" customFormat="1" ht="17.100000000000001" customHeight="1" thickBot="1" x14ac:dyDescent="0.3">
      <c r="A31" s="70"/>
      <c r="B31" s="73" t="s">
        <v>20</v>
      </c>
      <c r="C31" s="73"/>
      <c r="D31" s="70"/>
      <c r="E31" s="70"/>
      <c r="G31" s="70"/>
      <c r="H31" s="73" t="s">
        <v>69</v>
      </c>
      <c r="I31" s="73"/>
      <c r="J31" s="70"/>
      <c r="K31" s="70"/>
      <c r="M31" s="70"/>
      <c r="N31" s="93" t="s">
        <v>118</v>
      </c>
      <c r="O31" s="93"/>
      <c r="P31" s="70"/>
      <c r="Q31" s="70"/>
      <c r="T31" s="56"/>
      <c r="U31" s="32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52" s="11" customFormat="1" ht="17.100000000000001" customHeight="1" thickBot="1" x14ac:dyDescent="0.3">
      <c r="A32" s="70">
        <v>11</v>
      </c>
      <c r="B32" s="73" t="s">
        <v>21</v>
      </c>
      <c r="C32" s="73"/>
      <c r="D32" s="72"/>
      <c r="E32" s="72"/>
      <c r="G32" s="70"/>
      <c r="H32" s="73" t="s">
        <v>70</v>
      </c>
      <c r="I32" s="73"/>
      <c r="J32" s="70"/>
      <c r="K32" s="70"/>
      <c r="M32" s="70"/>
      <c r="N32" s="93" t="s">
        <v>119</v>
      </c>
      <c r="O32" s="93"/>
      <c r="P32" s="70"/>
      <c r="Q32" s="70"/>
      <c r="T32" s="56"/>
      <c r="U32" s="32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 spans="1:52" s="11" customFormat="1" ht="17.100000000000001" customHeight="1" thickBot="1" x14ac:dyDescent="0.3">
      <c r="A33" s="70"/>
      <c r="B33" s="73" t="s">
        <v>22</v>
      </c>
      <c r="C33" s="73"/>
      <c r="D33" s="72"/>
      <c r="E33" s="72"/>
      <c r="G33" s="70"/>
      <c r="H33" s="73" t="s">
        <v>71</v>
      </c>
      <c r="I33" s="73"/>
      <c r="J33" s="70"/>
      <c r="K33" s="70"/>
      <c r="M33" s="70"/>
      <c r="N33" s="93" t="s">
        <v>120</v>
      </c>
      <c r="O33" s="93"/>
      <c r="P33" s="70"/>
      <c r="Q33" s="70"/>
      <c r="T33" s="56"/>
      <c r="U33" s="32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 spans="1:52" s="11" customFormat="1" ht="17.100000000000001" customHeight="1" thickBot="1" x14ac:dyDescent="0.3">
      <c r="A34" s="70"/>
      <c r="B34" s="73" t="s">
        <v>23</v>
      </c>
      <c r="C34" s="73"/>
      <c r="D34" s="72"/>
      <c r="E34" s="72"/>
      <c r="G34" s="70"/>
      <c r="H34" s="73" t="s">
        <v>72</v>
      </c>
      <c r="I34" s="73"/>
      <c r="J34" s="70"/>
      <c r="K34" s="70"/>
      <c r="M34" s="70"/>
      <c r="N34" s="93" t="s">
        <v>121</v>
      </c>
      <c r="O34" s="93"/>
      <c r="P34" s="70"/>
      <c r="Q34" s="70"/>
      <c r="T34" s="56"/>
      <c r="U34" s="32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</row>
    <row r="35" spans="1:52" s="11" customFormat="1" ht="17.100000000000001" customHeight="1" thickBot="1" x14ac:dyDescent="0.3">
      <c r="A35" s="70">
        <v>12</v>
      </c>
      <c r="B35" s="73" t="s">
        <v>24</v>
      </c>
      <c r="C35" s="73"/>
      <c r="D35" s="70"/>
      <c r="E35" s="70"/>
      <c r="G35" s="70"/>
      <c r="H35" s="73" t="s">
        <v>73</v>
      </c>
      <c r="I35" s="73"/>
      <c r="J35" s="70"/>
      <c r="K35" s="70"/>
      <c r="M35" s="70"/>
      <c r="N35" s="93" t="s">
        <v>122</v>
      </c>
      <c r="O35" s="93"/>
      <c r="P35" s="70"/>
      <c r="Q35" s="70"/>
      <c r="T35" s="56"/>
      <c r="U35" s="32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</row>
    <row r="36" spans="1:52" s="11" customFormat="1" ht="17.100000000000001" customHeight="1" thickBot="1" x14ac:dyDescent="0.3">
      <c r="A36" s="70"/>
      <c r="B36" s="73" t="s">
        <v>25</v>
      </c>
      <c r="C36" s="73"/>
      <c r="D36" s="70"/>
      <c r="E36" s="70"/>
      <c r="G36" s="70">
        <v>27</v>
      </c>
      <c r="H36" s="73" t="s">
        <v>74</v>
      </c>
      <c r="I36" s="73"/>
      <c r="J36" s="70"/>
      <c r="K36" s="70"/>
      <c r="M36" s="70"/>
      <c r="N36" s="93" t="s">
        <v>123</v>
      </c>
      <c r="O36" s="93"/>
      <c r="P36" s="70"/>
      <c r="Q36" s="70"/>
      <c r="T36" s="56"/>
      <c r="U36" s="32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</row>
    <row r="37" spans="1:52" s="11" customFormat="1" ht="17.100000000000001" customHeight="1" thickBot="1" x14ac:dyDescent="0.3">
      <c r="A37" s="70">
        <v>13</v>
      </c>
      <c r="B37" s="73" t="s">
        <v>26</v>
      </c>
      <c r="C37" s="73"/>
      <c r="D37" s="72"/>
      <c r="E37" s="72"/>
      <c r="G37" s="70"/>
      <c r="H37" s="73" t="s">
        <v>75</v>
      </c>
      <c r="I37" s="73"/>
      <c r="J37" s="70"/>
      <c r="K37" s="70"/>
      <c r="M37" s="70"/>
      <c r="N37" s="93" t="s">
        <v>124</v>
      </c>
      <c r="O37" s="93"/>
      <c r="P37" s="70"/>
      <c r="Q37" s="70"/>
      <c r="T37" s="56"/>
      <c r="U37" s="32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</row>
    <row r="38" spans="1:52" s="11" customFormat="1" ht="17.100000000000001" customHeight="1" thickBot="1" x14ac:dyDescent="0.3">
      <c r="A38" s="70"/>
      <c r="B38" s="73" t="s">
        <v>27</v>
      </c>
      <c r="C38" s="73"/>
      <c r="D38" s="72"/>
      <c r="E38" s="72"/>
      <c r="G38" s="70"/>
      <c r="H38" s="73" t="s">
        <v>76</v>
      </c>
      <c r="I38" s="73"/>
      <c r="J38" s="70"/>
      <c r="K38" s="70"/>
      <c r="M38" s="70"/>
      <c r="N38" s="93" t="s">
        <v>125</v>
      </c>
      <c r="O38" s="93"/>
      <c r="P38" s="70"/>
      <c r="Q38" s="70"/>
      <c r="T38" s="56"/>
      <c r="U38" s="32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</row>
    <row r="39" spans="1:52" s="11" customFormat="1" ht="17.100000000000001" customHeight="1" thickBot="1" x14ac:dyDescent="0.3">
      <c r="A39" s="70"/>
      <c r="B39" s="73" t="s">
        <v>28</v>
      </c>
      <c r="C39" s="73"/>
      <c r="D39" s="72"/>
      <c r="E39" s="72"/>
      <c r="G39" s="70"/>
      <c r="H39" s="73" t="s">
        <v>77</v>
      </c>
      <c r="I39" s="73"/>
      <c r="J39" s="70"/>
      <c r="K39" s="70"/>
      <c r="M39" s="70"/>
      <c r="N39" s="73" t="s">
        <v>126</v>
      </c>
      <c r="O39" s="73"/>
      <c r="P39" s="70"/>
      <c r="Q39" s="70"/>
      <c r="T39" s="56"/>
      <c r="U39" s="32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 spans="1:52" s="11" customFormat="1" ht="17.100000000000001" customHeight="1" thickBot="1" x14ac:dyDescent="0.3">
      <c r="A40" s="70">
        <v>14</v>
      </c>
      <c r="B40" s="73" t="s">
        <v>29</v>
      </c>
      <c r="C40" s="73"/>
      <c r="D40" s="70"/>
      <c r="E40" s="70"/>
      <c r="G40" s="70"/>
      <c r="H40" s="73" t="s">
        <v>78</v>
      </c>
      <c r="I40" s="73"/>
      <c r="J40" s="70"/>
      <c r="K40" s="70"/>
      <c r="M40" s="70"/>
      <c r="N40" s="73" t="s">
        <v>127</v>
      </c>
      <c r="O40" s="73"/>
      <c r="P40" s="70"/>
      <c r="Q40" s="70"/>
      <c r="T40" s="56"/>
      <c r="U40" s="32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</row>
    <row r="41" spans="1:52" s="11" customFormat="1" ht="17.100000000000001" customHeight="1" thickBot="1" x14ac:dyDescent="0.3">
      <c r="A41" s="70"/>
      <c r="B41" s="73" t="s">
        <v>30</v>
      </c>
      <c r="C41" s="73"/>
      <c r="D41" s="70"/>
      <c r="E41" s="70"/>
      <c r="G41" s="70"/>
      <c r="H41" s="73" t="s">
        <v>79</v>
      </c>
      <c r="I41" s="73"/>
      <c r="J41" s="70"/>
      <c r="K41" s="70"/>
      <c r="M41" s="70"/>
      <c r="N41" s="73" t="s">
        <v>128</v>
      </c>
      <c r="O41" s="73"/>
      <c r="P41" s="70"/>
      <c r="Q41" s="70"/>
      <c r="T41" s="56"/>
      <c r="U41" s="32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  <row r="42" spans="1:52" s="11" customFormat="1" ht="17.100000000000001" customHeight="1" thickBot="1" x14ac:dyDescent="0.3">
      <c r="A42" s="70">
        <v>15</v>
      </c>
      <c r="B42" s="73" t="s">
        <v>31</v>
      </c>
      <c r="C42" s="73"/>
      <c r="D42" s="70"/>
      <c r="E42" s="70"/>
      <c r="G42" s="70"/>
      <c r="H42" s="73" t="s">
        <v>80</v>
      </c>
      <c r="I42" s="73"/>
      <c r="J42" s="70"/>
      <c r="K42" s="70"/>
      <c r="M42" s="70"/>
      <c r="N42" s="73" t="s">
        <v>129</v>
      </c>
      <c r="O42" s="73"/>
      <c r="P42" s="70"/>
      <c r="Q42" s="70"/>
      <c r="T42" s="56"/>
      <c r="U42" s="32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</row>
    <row r="43" spans="1:52" s="11" customFormat="1" ht="17.100000000000001" customHeight="1" thickBot="1" x14ac:dyDescent="0.3">
      <c r="A43" s="70"/>
      <c r="B43" s="73" t="s">
        <v>32</v>
      </c>
      <c r="C43" s="73"/>
      <c r="D43" s="70"/>
      <c r="E43" s="70"/>
      <c r="G43" s="70">
        <v>28</v>
      </c>
      <c r="H43" s="73" t="s">
        <v>81</v>
      </c>
      <c r="I43" s="73"/>
      <c r="J43" s="70"/>
      <c r="K43" s="70"/>
      <c r="M43" s="70"/>
      <c r="N43" s="73" t="s">
        <v>130</v>
      </c>
      <c r="O43" s="73"/>
      <c r="P43" s="70"/>
      <c r="Q43" s="70"/>
      <c r="T43" s="56"/>
      <c r="U43" s="32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</row>
    <row r="44" spans="1:52" s="11" customFormat="1" ht="17.100000000000001" customHeight="1" thickBot="1" x14ac:dyDescent="0.3">
      <c r="A44" s="70">
        <v>16</v>
      </c>
      <c r="B44" s="73" t="s">
        <v>33</v>
      </c>
      <c r="C44" s="73"/>
      <c r="D44" s="72"/>
      <c r="E44" s="72"/>
      <c r="G44" s="70"/>
      <c r="H44" s="73" t="s">
        <v>82</v>
      </c>
      <c r="I44" s="73"/>
      <c r="J44" s="70"/>
      <c r="K44" s="70"/>
      <c r="M44" s="70"/>
      <c r="N44" s="73" t="s">
        <v>131</v>
      </c>
      <c r="O44" s="73"/>
      <c r="P44" s="70"/>
      <c r="Q44" s="70"/>
      <c r="T44" s="56"/>
      <c r="U44" s="32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</row>
    <row r="45" spans="1:52" s="11" customFormat="1" ht="17.100000000000001" customHeight="1" thickBot="1" x14ac:dyDescent="0.3">
      <c r="A45" s="70"/>
      <c r="B45" s="73" t="s">
        <v>34</v>
      </c>
      <c r="C45" s="73"/>
      <c r="D45" s="72"/>
      <c r="E45" s="72"/>
      <c r="G45" s="70"/>
      <c r="H45" s="73" t="s">
        <v>83</v>
      </c>
      <c r="I45" s="73"/>
      <c r="J45" s="70"/>
      <c r="K45" s="70"/>
      <c r="M45" s="70"/>
      <c r="N45" s="73" t="s">
        <v>132</v>
      </c>
      <c r="O45" s="73"/>
      <c r="P45" s="70"/>
      <c r="Q45" s="70"/>
      <c r="T45" s="56"/>
      <c r="U45" s="32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</row>
    <row r="46" spans="1:52" s="11" customFormat="1" ht="17.100000000000001" customHeight="1" thickBot="1" x14ac:dyDescent="0.3">
      <c r="A46" s="70"/>
      <c r="B46" s="73" t="s">
        <v>35</v>
      </c>
      <c r="C46" s="73"/>
      <c r="D46" s="72"/>
      <c r="E46" s="72"/>
      <c r="G46" s="70"/>
      <c r="H46" s="73" t="s">
        <v>84</v>
      </c>
      <c r="I46" s="73"/>
      <c r="J46" s="70"/>
      <c r="K46" s="70"/>
      <c r="M46" s="70"/>
      <c r="N46" s="73" t="s">
        <v>133</v>
      </c>
      <c r="O46" s="73"/>
      <c r="P46" s="70"/>
      <c r="Q46" s="70"/>
      <c r="T46" s="56"/>
      <c r="U46" s="32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</row>
    <row r="47" spans="1:52" s="11" customFormat="1" ht="17.100000000000001" customHeight="1" thickBot="1" x14ac:dyDescent="0.3">
      <c r="A47" s="70">
        <v>17</v>
      </c>
      <c r="B47" s="73" t="s">
        <v>36</v>
      </c>
      <c r="C47" s="73"/>
      <c r="D47" s="70"/>
      <c r="E47" s="70"/>
      <c r="G47" s="70"/>
      <c r="H47" s="73" t="s">
        <v>85</v>
      </c>
      <c r="I47" s="73"/>
      <c r="J47" s="70"/>
      <c r="K47" s="70"/>
      <c r="M47" s="70"/>
      <c r="N47" s="73" t="s">
        <v>134</v>
      </c>
      <c r="O47" s="73"/>
      <c r="P47" s="70"/>
      <c r="Q47" s="70"/>
      <c r="T47" s="56"/>
      <c r="U47" s="32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</row>
    <row r="48" spans="1:52" s="11" customFormat="1" ht="17.100000000000001" customHeight="1" thickBot="1" x14ac:dyDescent="0.3">
      <c r="A48" s="70"/>
      <c r="B48" s="73" t="s">
        <v>37</v>
      </c>
      <c r="C48" s="73"/>
      <c r="D48" s="70"/>
      <c r="E48" s="70"/>
      <c r="G48" s="70"/>
      <c r="H48" s="73" t="s">
        <v>86</v>
      </c>
      <c r="I48" s="73"/>
      <c r="J48" s="70"/>
      <c r="K48" s="70"/>
      <c r="M48" s="70"/>
      <c r="N48" s="73" t="s">
        <v>135</v>
      </c>
      <c r="O48" s="73"/>
      <c r="P48" s="70"/>
      <c r="Q48" s="70"/>
      <c r="T48" s="56"/>
      <c r="U48" s="32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</row>
    <row r="49" spans="1:52" s="11" customFormat="1" ht="17.100000000000001" customHeight="1" thickBot="1" x14ac:dyDescent="0.3">
      <c r="A49" s="70">
        <v>18</v>
      </c>
      <c r="B49" s="73" t="s">
        <v>38</v>
      </c>
      <c r="C49" s="73"/>
      <c r="D49" s="72"/>
      <c r="E49" s="72"/>
      <c r="G49" s="70"/>
      <c r="H49" s="73" t="s">
        <v>87</v>
      </c>
      <c r="I49" s="73"/>
      <c r="J49" s="70"/>
      <c r="K49" s="70"/>
      <c r="M49" s="70"/>
      <c r="N49" s="73" t="s">
        <v>136</v>
      </c>
      <c r="O49" s="73"/>
      <c r="P49" s="70"/>
      <c r="Q49" s="70"/>
      <c r="T49" s="56"/>
      <c r="U49" s="32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</row>
    <row r="50" spans="1:52" s="11" customFormat="1" ht="17.100000000000001" customHeight="1" thickBot="1" x14ac:dyDescent="0.3">
      <c r="A50" s="70"/>
      <c r="B50" s="73" t="s">
        <v>39</v>
      </c>
      <c r="C50" s="73"/>
      <c r="D50" s="72"/>
      <c r="E50" s="72"/>
      <c r="G50" s="70"/>
      <c r="H50" s="73" t="s">
        <v>88</v>
      </c>
      <c r="I50" s="73"/>
      <c r="J50" s="70"/>
      <c r="K50" s="70"/>
      <c r="M50" s="71"/>
      <c r="N50" s="84" t="s">
        <v>137</v>
      </c>
      <c r="O50" s="84"/>
      <c r="P50" s="71"/>
      <c r="Q50" s="71"/>
      <c r="T50" s="56"/>
      <c r="U50" s="32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</row>
    <row r="51" spans="1:52" s="11" customFormat="1" ht="17.100000000000001" customHeight="1" thickTop="1" thickBot="1" x14ac:dyDescent="0.3">
      <c r="A51" s="70"/>
      <c r="B51" s="73" t="s">
        <v>41</v>
      </c>
      <c r="C51" s="73"/>
      <c r="D51" s="72"/>
      <c r="E51" s="72"/>
      <c r="G51" s="70"/>
      <c r="H51" s="73" t="s">
        <v>89</v>
      </c>
      <c r="I51" s="73"/>
      <c r="J51" s="70"/>
      <c r="K51" s="70"/>
      <c r="M51" s="74" t="s">
        <v>145</v>
      </c>
      <c r="N51" s="74"/>
      <c r="O51" s="74"/>
      <c r="P51" s="82">
        <f>AZ14</f>
        <v>61.5</v>
      </c>
      <c r="Q51" s="82">
        <f>AZ15</f>
        <v>60</v>
      </c>
      <c r="T51" s="56"/>
      <c r="U51" s="32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</row>
    <row r="52" spans="1:52" s="11" customFormat="1" ht="17.100000000000001" customHeight="1" thickBot="1" x14ac:dyDescent="0.3">
      <c r="A52" s="70">
        <v>19</v>
      </c>
      <c r="B52" s="73" t="s">
        <v>42</v>
      </c>
      <c r="C52" s="73"/>
      <c r="D52" s="72"/>
      <c r="E52" s="72"/>
      <c r="G52" s="70">
        <v>29</v>
      </c>
      <c r="H52" s="73" t="s">
        <v>90</v>
      </c>
      <c r="I52" s="73"/>
      <c r="J52" s="70">
        <v>59</v>
      </c>
      <c r="K52" s="70">
        <v>60</v>
      </c>
      <c r="M52" s="75"/>
      <c r="N52" s="75"/>
      <c r="O52" s="75"/>
      <c r="P52" s="83"/>
      <c r="Q52" s="83"/>
      <c r="T52" s="56"/>
      <c r="U52" s="32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</row>
    <row r="53" spans="1:52" s="11" customFormat="1" ht="17.100000000000001" customHeight="1" thickBot="1" x14ac:dyDescent="0.3">
      <c r="A53" s="70"/>
      <c r="B53" s="73" t="s">
        <v>40</v>
      </c>
      <c r="C53" s="73"/>
      <c r="D53" s="72"/>
      <c r="E53" s="72"/>
      <c r="G53" s="70"/>
      <c r="H53" s="73" t="s">
        <v>91</v>
      </c>
      <c r="I53" s="73"/>
      <c r="J53" s="70"/>
      <c r="K53" s="70"/>
      <c r="M53" s="39" t="s">
        <v>163</v>
      </c>
      <c r="N53" s="13"/>
      <c r="P53" s="56"/>
      <c r="Q53" s="56"/>
      <c r="T53" s="56"/>
      <c r="U53" s="32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</row>
    <row r="54" spans="1:52" s="11" customFormat="1" ht="17.100000000000001" customHeight="1" thickBot="1" x14ac:dyDescent="0.3">
      <c r="A54" s="70"/>
      <c r="B54" s="73" t="s">
        <v>43</v>
      </c>
      <c r="C54" s="73"/>
      <c r="D54" s="72"/>
      <c r="E54" s="72"/>
      <c r="G54" s="70"/>
      <c r="H54" s="73" t="s">
        <v>92</v>
      </c>
      <c r="I54" s="73"/>
      <c r="J54" s="70"/>
      <c r="K54" s="70"/>
      <c r="M54" s="12"/>
      <c r="N54" s="15"/>
      <c r="P54" s="56"/>
      <c r="Q54" s="56"/>
      <c r="T54" s="56"/>
      <c r="U54" s="32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</row>
    <row r="55" spans="1:52" s="11" customFormat="1" ht="17.100000000000001" customHeight="1" thickBot="1" x14ac:dyDescent="0.45">
      <c r="A55" s="70">
        <v>20</v>
      </c>
      <c r="B55" s="73" t="s">
        <v>44</v>
      </c>
      <c r="C55" s="73"/>
      <c r="D55" s="72"/>
      <c r="E55" s="72"/>
      <c r="G55" s="70"/>
      <c r="H55" s="73" t="s">
        <v>93</v>
      </c>
      <c r="I55" s="73"/>
      <c r="J55" s="70"/>
      <c r="K55" s="70"/>
      <c r="M55" s="85" t="s">
        <v>175</v>
      </c>
      <c r="N55" s="85"/>
      <c r="O55" s="85"/>
      <c r="P55" s="85"/>
      <c r="Q55" s="85"/>
      <c r="T55" s="56"/>
      <c r="U55" s="32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</row>
    <row r="56" spans="1:52" s="11" customFormat="1" ht="17.100000000000001" customHeight="1" thickBot="1" x14ac:dyDescent="0.45">
      <c r="A56" s="70"/>
      <c r="B56" s="73" t="s">
        <v>45</v>
      </c>
      <c r="C56" s="73"/>
      <c r="D56" s="72"/>
      <c r="E56" s="72"/>
      <c r="G56" s="70"/>
      <c r="H56" s="93" t="s">
        <v>94</v>
      </c>
      <c r="I56" s="93"/>
      <c r="J56" s="70"/>
      <c r="K56" s="70"/>
      <c r="M56" s="85" t="s">
        <v>195</v>
      </c>
      <c r="N56" s="85"/>
      <c r="O56" s="85"/>
      <c r="P56" s="85"/>
      <c r="Q56" s="85"/>
      <c r="T56" s="56"/>
      <c r="U56" s="32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</row>
    <row r="57" spans="1:52" s="11" customFormat="1" ht="17.100000000000001" customHeight="1" thickBot="1" x14ac:dyDescent="0.3">
      <c r="A57" s="70"/>
      <c r="B57" s="73" t="s">
        <v>46</v>
      </c>
      <c r="C57" s="73"/>
      <c r="D57" s="72"/>
      <c r="E57" s="72"/>
      <c r="G57" s="70"/>
      <c r="H57" s="93" t="s">
        <v>95</v>
      </c>
      <c r="I57" s="93"/>
      <c r="J57" s="70"/>
      <c r="K57" s="70"/>
      <c r="M57" s="12"/>
      <c r="N57" s="15"/>
      <c r="P57" s="61"/>
      <c r="Q57" s="61"/>
      <c r="T57" s="56"/>
      <c r="U57" s="32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</row>
    <row r="58" spans="1:52" s="11" customFormat="1" ht="17.100000000000001" customHeight="1" thickBot="1" x14ac:dyDescent="0.3">
      <c r="A58" s="70">
        <v>21</v>
      </c>
      <c r="B58" s="73" t="s">
        <v>47</v>
      </c>
      <c r="C58" s="73"/>
      <c r="D58" s="72"/>
      <c r="E58" s="72"/>
      <c r="G58" s="70"/>
      <c r="H58" s="73" t="s">
        <v>96</v>
      </c>
      <c r="I58" s="73"/>
      <c r="J58" s="70"/>
      <c r="K58" s="70"/>
      <c r="M58" s="86" t="s">
        <v>174</v>
      </c>
      <c r="N58" s="86"/>
      <c r="O58" s="86"/>
      <c r="P58" s="86"/>
      <c r="Q58" s="86"/>
      <c r="T58" s="56"/>
      <c r="U58" s="32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</row>
    <row r="59" spans="1:52" s="11" customFormat="1" ht="17.100000000000001" customHeight="1" thickBot="1" x14ac:dyDescent="0.3">
      <c r="A59" s="70"/>
      <c r="B59" s="73" t="s">
        <v>48</v>
      </c>
      <c r="C59" s="73"/>
      <c r="D59" s="72"/>
      <c r="E59" s="72"/>
      <c r="G59" s="70"/>
      <c r="H59" s="73" t="s">
        <v>97</v>
      </c>
      <c r="I59" s="73"/>
      <c r="J59" s="70"/>
      <c r="K59" s="70"/>
      <c r="M59" s="86"/>
      <c r="N59" s="86"/>
      <c r="O59" s="86"/>
      <c r="P59" s="86"/>
      <c r="Q59" s="86"/>
      <c r="T59" s="56"/>
      <c r="U59" s="32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</row>
    <row r="60" spans="1:52" s="11" customFormat="1" ht="17.100000000000001" customHeight="1" thickBot="1" x14ac:dyDescent="0.3">
      <c r="A60" s="70"/>
      <c r="B60" s="73" t="s">
        <v>49</v>
      </c>
      <c r="C60" s="73"/>
      <c r="D60" s="72"/>
      <c r="E60" s="72"/>
      <c r="G60" s="70"/>
      <c r="H60" s="73" t="s">
        <v>98</v>
      </c>
      <c r="I60" s="73"/>
      <c r="J60" s="70"/>
      <c r="K60" s="70"/>
      <c r="M60" s="68"/>
      <c r="N60" s="69"/>
      <c r="O60" s="69"/>
      <c r="P60" s="68"/>
      <c r="Q60" s="68"/>
      <c r="T60" s="56"/>
      <c r="U60" s="32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</row>
    <row r="61" spans="1:52" s="11" customFormat="1" ht="17.100000000000001" customHeight="1" thickBot="1" x14ac:dyDescent="0.3">
      <c r="A61" s="70"/>
      <c r="B61" s="73" t="s">
        <v>50</v>
      </c>
      <c r="C61" s="73"/>
      <c r="D61" s="72"/>
      <c r="E61" s="72"/>
      <c r="G61" s="70"/>
      <c r="H61" s="73" t="s">
        <v>99</v>
      </c>
      <c r="I61" s="73"/>
      <c r="J61" s="70"/>
      <c r="K61" s="70"/>
      <c r="M61" s="68"/>
      <c r="N61" s="69"/>
      <c r="O61" s="69"/>
      <c r="P61" s="68"/>
      <c r="Q61" s="68"/>
      <c r="T61" s="56"/>
      <c r="U61" s="32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</row>
    <row r="62" spans="1:52" s="11" customFormat="1" ht="17.100000000000001" customHeight="1" thickBot="1" x14ac:dyDescent="0.3">
      <c r="A62" s="70"/>
      <c r="B62" s="73" t="s">
        <v>51</v>
      </c>
      <c r="C62" s="73"/>
      <c r="D62" s="72"/>
      <c r="E62" s="72"/>
      <c r="G62" s="70"/>
      <c r="H62" s="73" t="s">
        <v>100</v>
      </c>
      <c r="I62" s="73"/>
      <c r="J62" s="70"/>
      <c r="K62" s="70"/>
      <c r="M62" s="87" t="s">
        <v>177</v>
      </c>
      <c r="N62" s="87"/>
      <c r="O62" s="87"/>
      <c r="P62" s="87"/>
      <c r="Q62" s="87"/>
      <c r="T62" s="56"/>
      <c r="U62" s="32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</row>
    <row r="63" spans="1:52" ht="6" customHeight="1" x14ac:dyDescent="0.25">
      <c r="M63" s="61"/>
      <c r="N63" s="61"/>
      <c r="O63" s="61"/>
      <c r="P63" s="61"/>
      <c r="Q63" s="61"/>
    </row>
    <row r="64" spans="1:52" x14ac:dyDescent="0.25">
      <c r="B64" s="4"/>
      <c r="E64" s="18"/>
      <c r="F64" s="3"/>
      <c r="H64" s="2"/>
      <c r="M64" s="61"/>
      <c r="P64" s="61"/>
      <c r="Q64" s="61"/>
    </row>
    <row r="65" spans="2:8" x14ac:dyDescent="0.25">
      <c r="B65" s="2"/>
      <c r="H65" s="2"/>
    </row>
    <row r="66" spans="2:8" x14ac:dyDescent="0.25">
      <c r="B66" s="2"/>
      <c r="H66" s="2"/>
    </row>
  </sheetData>
  <mergeCells count="250">
    <mergeCell ref="B54:C54"/>
    <mergeCell ref="H54:I54"/>
    <mergeCell ref="H60:I60"/>
    <mergeCell ref="B61:C61"/>
    <mergeCell ref="H61:I61"/>
    <mergeCell ref="B62:C62"/>
    <mergeCell ref="H62:I62"/>
    <mergeCell ref="M62:Q62"/>
    <mergeCell ref="A58:A62"/>
    <mergeCell ref="B58:C58"/>
    <mergeCell ref="D58:D62"/>
    <mergeCell ref="E58:E62"/>
    <mergeCell ref="H58:I58"/>
    <mergeCell ref="M58:Q58"/>
    <mergeCell ref="B59:C59"/>
    <mergeCell ref="H59:I59"/>
    <mergeCell ref="M59:Q59"/>
    <mergeCell ref="B60:C60"/>
    <mergeCell ref="A55:A57"/>
    <mergeCell ref="B55:C55"/>
    <mergeCell ref="D55:D57"/>
    <mergeCell ref="E55:E57"/>
    <mergeCell ref="H55:I55"/>
    <mergeCell ref="Q51:Q52"/>
    <mergeCell ref="A52:A54"/>
    <mergeCell ref="B52:C52"/>
    <mergeCell ref="D52:D54"/>
    <mergeCell ref="E52:E54"/>
    <mergeCell ref="G52:G62"/>
    <mergeCell ref="H52:I52"/>
    <mergeCell ref="J52:J62"/>
    <mergeCell ref="K52:K62"/>
    <mergeCell ref="B53:C53"/>
    <mergeCell ref="A49:A51"/>
    <mergeCell ref="Q14:Q50"/>
    <mergeCell ref="M55:Q55"/>
    <mergeCell ref="B56:C56"/>
    <mergeCell ref="H56:I56"/>
    <mergeCell ref="M56:Q56"/>
    <mergeCell ref="B57:C57"/>
    <mergeCell ref="H57:I57"/>
    <mergeCell ref="H53:I53"/>
    <mergeCell ref="B51:C51"/>
    <mergeCell ref="H51:I51"/>
    <mergeCell ref="M51:O52"/>
    <mergeCell ref="P51:P52"/>
    <mergeCell ref="B48:C48"/>
    <mergeCell ref="P14:P50"/>
    <mergeCell ref="B15:C15"/>
    <mergeCell ref="H15:I15"/>
    <mergeCell ref="B16:C16"/>
    <mergeCell ref="H16:I16"/>
    <mergeCell ref="H46:I46"/>
    <mergeCell ref="N46:O46"/>
    <mergeCell ref="H43:I43"/>
    <mergeCell ref="J43:J51"/>
    <mergeCell ref="N39:O39"/>
    <mergeCell ref="B46:C46"/>
    <mergeCell ref="E35:E36"/>
    <mergeCell ref="H35:I35"/>
    <mergeCell ref="N35:O35"/>
    <mergeCell ref="B36:C36"/>
    <mergeCell ref="N32:O32"/>
    <mergeCell ref="H50:I50"/>
    <mergeCell ref="N50:O50"/>
    <mergeCell ref="B43:C43"/>
    <mergeCell ref="G43:G51"/>
    <mergeCell ref="H48:I48"/>
    <mergeCell ref="N48:O48"/>
    <mergeCell ref="B49:C49"/>
    <mergeCell ref="D49:D51"/>
    <mergeCell ref="E49:E51"/>
    <mergeCell ref="H49:I49"/>
    <mergeCell ref="N49:O49"/>
    <mergeCell ref="B50:C50"/>
    <mergeCell ref="N40:O40"/>
    <mergeCell ref="B41:C41"/>
    <mergeCell ref="H41:I41"/>
    <mergeCell ref="N41:O41"/>
    <mergeCell ref="A47:A48"/>
    <mergeCell ref="B47:C47"/>
    <mergeCell ref="D47:D48"/>
    <mergeCell ref="E47:E48"/>
    <mergeCell ref="H47:I47"/>
    <mergeCell ref="N47:O47"/>
    <mergeCell ref="K43:K51"/>
    <mergeCell ref="N43:O43"/>
    <mergeCell ref="A44:A46"/>
    <mergeCell ref="B44:C44"/>
    <mergeCell ref="D44:D46"/>
    <mergeCell ref="E44:E46"/>
    <mergeCell ref="H44:I44"/>
    <mergeCell ref="N44:O44"/>
    <mergeCell ref="B45:C45"/>
    <mergeCell ref="H45:I45"/>
    <mergeCell ref="A42:A43"/>
    <mergeCell ref="B42:C42"/>
    <mergeCell ref="D42:D43"/>
    <mergeCell ref="E42:E43"/>
    <mergeCell ref="A37:A39"/>
    <mergeCell ref="B37:C37"/>
    <mergeCell ref="D37:D39"/>
    <mergeCell ref="E37:E39"/>
    <mergeCell ref="H37:I37"/>
    <mergeCell ref="N37:O37"/>
    <mergeCell ref="B38:C38"/>
    <mergeCell ref="H38:I38"/>
    <mergeCell ref="N45:O45"/>
    <mergeCell ref="N38:O38"/>
    <mergeCell ref="B39:C39"/>
    <mergeCell ref="G36:G42"/>
    <mergeCell ref="H36:I36"/>
    <mergeCell ref="J36:J42"/>
    <mergeCell ref="K36:K42"/>
    <mergeCell ref="N36:O36"/>
    <mergeCell ref="H39:I39"/>
    <mergeCell ref="H42:I42"/>
    <mergeCell ref="N42:O42"/>
    <mergeCell ref="A40:A41"/>
    <mergeCell ref="B40:C40"/>
    <mergeCell ref="D40:D41"/>
    <mergeCell ref="E40:E41"/>
    <mergeCell ref="H40:I40"/>
    <mergeCell ref="N33:O33"/>
    <mergeCell ref="B34:C34"/>
    <mergeCell ref="H34:I34"/>
    <mergeCell ref="N34:O34"/>
    <mergeCell ref="J30:J35"/>
    <mergeCell ref="K30:K35"/>
    <mergeCell ref="N30:O30"/>
    <mergeCell ref="B31:C31"/>
    <mergeCell ref="H31:I31"/>
    <mergeCell ref="N31:O31"/>
    <mergeCell ref="B32:C32"/>
    <mergeCell ref="D32:D34"/>
    <mergeCell ref="E32:E34"/>
    <mergeCell ref="H32:I32"/>
    <mergeCell ref="A30:A31"/>
    <mergeCell ref="B30:C30"/>
    <mergeCell ref="D30:D31"/>
    <mergeCell ref="E30:E31"/>
    <mergeCell ref="G30:G35"/>
    <mergeCell ref="H30:I30"/>
    <mergeCell ref="A32:A34"/>
    <mergeCell ref="A35:A36"/>
    <mergeCell ref="B35:C35"/>
    <mergeCell ref="D35:D36"/>
    <mergeCell ref="B33:C33"/>
    <mergeCell ref="H33:I33"/>
    <mergeCell ref="A26:A27"/>
    <mergeCell ref="B26:C26"/>
    <mergeCell ref="D26:D27"/>
    <mergeCell ref="E26:E27"/>
    <mergeCell ref="H26:I26"/>
    <mergeCell ref="N26:O26"/>
    <mergeCell ref="B27:C27"/>
    <mergeCell ref="H27:I27"/>
    <mergeCell ref="N27:O27"/>
    <mergeCell ref="G25:G29"/>
    <mergeCell ref="H25:I25"/>
    <mergeCell ref="J25:J29"/>
    <mergeCell ref="K25:K29"/>
    <mergeCell ref="N25:O25"/>
    <mergeCell ref="A28:A29"/>
    <mergeCell ref="B28:C28"/>
    <mergeCell ref="D28:D29"/>
    <mergeCell ref="E28:E29"/>
    <mergeCell ref="H28:I28"/>
    <mergeCell ref="N28:O28"/>
    <mergeCell ref="B29:C29"/>
    <mergeCell ref="H29:I29"/>
    <mergeCell ref="N29:O29"/>
    <mergeCell ref="B21:C21"/>
    <mergeCell ref="H21:I21"/>
    <mergeCell ref="N21:O21"/>
    <mergeCell ref="A22:A23"/>
    <mergeCell ref="B22:C22"/>
    <mergeCell ref="D22:D23"/>
    <mergeCell ref="E22:E23"/>
    <mergeCell ref="G22:G24"/>
    <mergeCell ref="H22:I22"/>
    <mergeCell ref="J22:J24"/>
    <mergeCell ref="N24:O24"/>
    <mergeCell ref="K22:K24"/>
    <mergeCell ref="N22:O22"/>
    <mergeCell ref="B23:C23"/>
    <mergeCell ref="H23:I23"/>
    <mergeCell ref="N23:O23"/>
    <mergeCell ref="A24:A25"/>
    <mergeCell ref="B24:C24"/>
    <mergeCell ref="D24:D25"/>
    <mergeCell ref="E24:E25"/>
    <mergeCell ref="H24:I24"/>
    <mergeCell ref="B25:C25"/>
    <mergeCell ref="A19:A20"/>
    <mergeCell ref="B19:C19"/>
    <mergeCell ref="D19:D20"/>
    <mergeCell ref="E19:E20"/>
    <mergeCell ref="H19:I19"/>
    <mergeCell ref="N19:O19"/>
    <mergeCell ref="B20:C20"/>
    <mergeCell ref="H20:I20"/>
    <mergeCell ref="N20:O20"/>
    <mergeCell ref="A17:A18"/>
    <mergeCell ref="B17:C17"/>
    <mergeCell ref="D17:D18"/>
    <mergeCell ref="E17:E18"/>
    <mergeCell ref="H17:I17"/>
    <mergeCell ref="N17:O17"/>
    <mergeCell ref="B18:C18"/>
    <mergeCell ref="G18:G21"/>
    <mergeCell ref="H18:I18"/>
    <mergeCell ref="J18:J21"/>
    <mergeCell ref="J14:J17"/>
    <mergeCell ref="K14:K17"/>
    <mergeCell ref="M14:M50"/>
    <mergeCell ref="N14:O14"/>
    <mergeCell ref="N15:O15"/>
    <mergeCell ref="N16:O16"/>
    <mergeCell ref="K18:K21"/>
    <mergeCell ref="N18:O18"/>
    <mergeCell ref="A14:A15"/>
    <mergeCell ref="B14:C14"/>
    <mergeCell ref="D14:D15"/>
    <mergeCell ref="E14:E15"/>
    <mergeCell ref="G14:G17"/>
    <mergeCell ref="H14:I14"/>
    <mergeCell ref="U11:U12"/>
    <mergeCell ref="V11:AY11"/>
    <mergeCell ref="AZ11:AZ12"/>
    <mergeCell ref="A8:B8"/>
    <mergeCell ref="M8:N8"/>
    <mergeCell ref="A9:B9"/>
    <mergeCell ref="M9:N9"/>
    <mergeCell ref="A11:A12"/>
    <mergeCell ref="B11:C12"/>
    <mergeCell ref="D11:E11"/>
    <mergeCell ref="G11:G12"/>
    <mergeCell ref="H11:I12"/>
    <mergeCell ref="J11:K11"/>
    <mergeCell ref="A1:Q1"/>
    <mergeCell ref="A2:Q2"/>
    <mergeCell ref="A3:Q3"/>
    <mergeCell ref="A4:Q4"/>
    <mergeCell ref="A6:Q6"/>
    <mergeCell ref="A7:B7"/>
    <mergeCell ref="M7:N7"/>
    <mergeCell ref="M11:M12"/>
    <mergeCell ref="N11:O12"/>
    <mergeCell ref="P11:Q11"/>
  </mergeCells>
  <pageMargins left="0.35" right="0.25" top="0.31" bottom="0.74803149606299213" header="0.31496062992125984" footer="0.31496062992125984"/>
  <pageSetup paperSize="5" scale="85"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6"/>
  <sheetViews>
    <sheetView topLeftCell="A37" zoomScaleNormal="100" workbookViewId="0">
      <selection activeCell="M56" sqref="M56:Q56"/>
    </sheetView>
  </sheetViews>
  <sheetFormatPr defaultRowHeight="15" x14ac:dyDescent="0.25"/>
  <cols>
    <col min="1" max="1" width="4.7109375" style="56" customWidth="1"/>
    <col min="2" max="2" width="18.7109375" customWidth="1"/>
    <col min="3" max="3" width="4.7109375" customWidth="1"/>
    <col min="4" max="5" width="4.7109375" style="56" customWidth="1"/>
    <col min="6" max="6" width="2.28515625" customWidth="1"/>
    <col min="7" max="7" width="4.7109375" style="56" customWidth="1"/>
    <col min="8" max="8" width="18.7109375" customWidth="1"/>
    <col min="9" max="9" width="4.7109375" customWidth="1"/>
    <col min="10" max="11" width="4.7109375" style="56" customWidth="1"/>
    <col min="12" max="12" width="2.28515625" customWidth="1"/>
    <col min="13" max="13" width="4.7109375" style="56" customWidth="1"/>
    <col min="14" max="15" width="10.7109375" customWidth="1"/>
    <col min="16" max="17" width="4.7109375" style="56" customWidth="1"/>
    <col min="20" max="20" width="4.42578125" style="5" customWidth="1"/>
    <col min="21" max="21" width="12.28515625" style="31" customWidth="1"/>
    <col min="22" max="39" width="4.7109375" style="56" customWidth="1"/>
    <col min="40" max="51" width="4.7109375" style="5" customWidth="1"/>
    <col min="52" max="52" width="9.140625" style="5"/>
  </cols>
  <sheetData>
    <row r="1" spans="1:52" ht="25.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52" ht="21" customHeight="1" x14ac:dyDescent="0.25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52" ht="18" customHeight="1" x14ac:dyDescent="0.25">
      <c r="A3" s="77" t="s">
        <v>158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52" ht="15" customHeight="1" x14ac:dyDescent="0.25">
      <c r="A4" s="78" t="s">
        <v>159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52" ht="24.75" customHeight="1" x14ac:dyDescent="0.25"/>
    <row r="6" spans="1:52" ht="20.100000000000001" customHeight="1" x14ac:dyDescent="0.3">
      <c r="A6" s="79" t="s">
        <v>138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</row>
    <row r="7" spans="1:52" ht="15" customHeight="1" x14ac:dyDescent="0.25">
      <c r="A7" s="91" t="s">
        <v>154</v>
      </c>
      <c r="B7" s="91"/>
      <c r="C7" s="9" t="s">
        <v>184</v>
      </c>
      <c r="D7" s="51"/>
      <c r="E7" s="51"/>
      <c r="F7" s="56"/>
      <c r="J7" s="51"/>
      <c r="M7" s="92" t="s">
        <v>139</v>
      </c>
      <c r="N7" s="92"/>
      <c r="O7" s="10" t="s">
        <v>155</v>
      </c>
    </row>
    <row r="8" spans="1:52" ht="15" customHeight="1" x14ac:dyDescent="0.25">
      <c r="A8" s="91" t="s">
        <v>140</v>
      </c>
      <c r="B8" s="91"/>
      <c r="C8" s="9">
        <v>2101110</v>
      </c>
      <c r="D8" s="51"/>
      <c r="E8" s="51"/>
      <c r="F8" s="56"/>
      <c r="J8" s="51"/>
      <c r="M8" s="92" t="s">
        <v>141</v>
      </c>
      <c r="N8" s="92"/>
      <c r="O8" s="10" t="s">
        <v>176</v>
      </c>
    </row>
    <row r="9" spans="1:52" ht="15" customHeight="1" x14ac:dyDescent="0.25">
      <c r="A9" s="91" t="s">
        <v>173</v>
      </c>
      <c r="B9" s="91"/>
      <c r="C9" s="38" t="s">
        <v>160</v>
      </c>
      <c r="D9" s="51"/>
      <c r="E9" s="51"/>
      <c r="F9" s="56"/>
      <c r="I9" s="8"/>
      <c r="J9" s="51"/>
      <c r="K9" s="6"/>
      <c r="L9" s="8"/>
      <c r="M9" s="92" t="s">
        <v>142</v>
      </c>
      <c r="N9" s="92"/>
      <c r="O9" s="10" t="s">
        <v>156</v>
      </c>
      <c r="P9" s="6"/>
      <c r="Q9" s="6"/>
    </row>
    <row r="10" spans="1:52" ht="4.5" customHeight="1" thickBot="1" x14ac:dyDescent="0.3"/>
    <row r="11" spans="1:52" ht="16.5" thickTop="1" thickBot="1" x14ac:dyDescent="0.3">
      <c r="A11" s="81" t="s">
        <v>0</v>
      </c>
      <c r="B11" s="81" t="s">
        <v>1</v>
      </c>
      <c r="C11" s="81"/>
      <c r="D11" s="81" t="s">
        <v>2</v>
      </c>
      <c r="E11" s="81"/>
      <c r="F11" s="19"/>
      <c r="G11" s="81" t="s">
        <v>0</v>
      </c>
      <c r="H11" s="81" t="s">
        <v>1</v>
      </c>
      <c r="I11" s="81"/>
      <c r="J11" s="81" t="s">
        <v>2</v>
      </c>
      <c r="K11" s="81"/>
      <c r="L11" s="19"/>
      <c r="M11" s="81" t="s">
        <v>0</v>
      </c>
      <c r="N11" s="81" t="s">
        <v>1</v>
      </c>
      <c r="O11" s="81"/>
      <c r="P11" s="81" t="s">
        <v>2</v>
      </c>
      <c r="Q11" s="81"/>
      <c r="U11" s="89"/>
      <c r="V11" s="88" t="s">
        <v>153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 t="s">
        <v>146</v>
      </c>
    </row>
    <row r="12" spans="1:52" ht="12" customHeight="1" thickTop="1" thickBot="1" x14ac:dyDescent="0.3">
      <c r="A12" s="81"/>
      <c r="B12" s="81"/>
      <c r="C12" s="81"/>
      <c r="D12" s="53" t="s">
        <v>143</v>
      </c>
      <c r="E12" s="53" t="s">
        <v>144</v>
      </c>
      <c r="F12" s="19"/>
      <c r="G12" s="81"/>
      <c r="H12" s="81"/>
      <c r="I12" s="81"/>
      <c r="J12" s="53" t="s">
        <v>143</v>
      </c>
      <c r="K12" s="53" t="s">
        <v>144</v>
      </c>
      <c r="L12" s="19"/>
      <c r="M12" s="81"/>
      <c r="N12" s="81"/>
      <c r="O12" s="81"/>
      <c r="P12" s="53" t="s">
        <v>143</v>
      </c>
      <c r="Q12" s="53" t="s">
        <v>144</v>
      </c>
      <c r="U12" s="90"/>
      <c r="V12" s="52">
        <v>1</v>
      </c>
      <c r="W12" s="52">
        <v>2</v>
      </c>
      <c r="X12" s="52">
        <v>3</v>
      </c>
      <c r="Y12" s="52">
        <v>4</v>
      </c>
      <c r="Z12" s="52">
        <v>5</v>
      </c>
      <c r="AA12" s="52">
        <v>6</v>
      </c>
      <c r="AB12" s="52">
        <v>7</v>
      </c>
      <c r="AC12" s="52">
        <v>8</v>
      </c>
      <c r="AD12" s="52">
        <v>9</v>
      </c>
      <c r="AE12" s="52">
        <v>10</v>
      </c>
      <c r="AF12" s="52">
        <v>11</v>
      </c>
      <c r="AG12" s="52">
        <v>12</v>
      </c>
      <c r="AH12" s="52">
        <v>13</v>
      </c>
      <c r="AI12" s="52">
        <v>14</v>
      </c>
      <c r="AJ12" s="52">
        <v>15</v>
      </c>
      <c r="AK12" s="52">
        <v>16</v>
      </c>
      <c r="AL12" s="52">
        <v>17</v>
      </c>
      <c r="AM12" s="52">
        <v>18</v>
      </c>
      <c r="AN12" s="52">
        <v>19</v>
      </c>
      <c r="AO12" s="52">
        <v>20</v>
      </c>
      <c r="AP12" s="52">
        <v>21</v>
      </c>
      <c r="AQ12" s="52">
        <v>22</v>
      </c>
      <c r="AR12" s="52">
        <v>23</v>
      </c>
      <c r="AS12" s="52">
        <v>24</v>
      </c>
      <c r="AT12" s="52">
        <v>25</v>
      </c>
      <c r="AU12" s="52">
        <v>26</v>
      </c>
      <c r="AV12" s="52">
        <v>27</v>
      </c>
      <c r="AW12" s="52">
        <v>28</v>
      </c>
      <c r="AX12" s="52">
        <v>29</v>
      </c>
      <c r="AY12" s="52">
        <v>30</v>
      </c>
      <c r="AZ12" s="88"/>
    </row>
    <row r="13" spans="1:52" ht="3.75" customHeight="1" thickTop="1" thickBot="1" x14ac:dyDescent="0.3"/>
    <row r="14" spans="1:52" s="11" customFormat="1" ht="17.100000000000001" customHeight="1" thickBot="1" x14ac:dyDescent="0.3">
      <c r="A14" s="70">
        <v>1</v>
      </c>
      <c r="B14" s="73" t="s">
        <v>3</v>
      </c>
      <c r="C14" s="73"/>
      <c r="D14" s="72"/>
      <c r="E14" s="72"/>
      <c r="G14" s="70">
        <v>22</v>
      </c>
      <c r="H14" s="73" t="s">
        <v>52</v>
      </c>
      <c r="I14" s="73"/>
      <c r="J14" s="72"/>
      <c r="K14" s="72"/>
      <c r="M14" s="70">
        <v>30</v>
      </c>
      <c r="N14" s="73" t="s">
        <v>101</v>
      </c>
      <c r="O14" s="73"/>
      <c r="P14" s="70">
        <v>80</v>
      </c>
      <c r="Q14" s="70">
        <v>60</v>
      </c>
      <c r="T14" s="56"/>
      <c r="U14" s="34" t="s">
        <v>151</v>
      </c>
      <c r="V14" s="52">
        <f>D14</f>
        <v>0</v>
      </c>
      <c r="W14" s="52">
        <f>D16</f>
        <v>0</v>
      </c>
      <c r="X14" s="52">
        <f>D17</f>
        <v>0</v>
      </c>
      <c r="Y14" s="52">
        <f>D19</f>
        <v>0</v>
      </c>
      <c r="Z14" s="52">
        <f>D21</f>
        <v>0</v>
      </c>
      <c r="AA14" s="52">
        <f>D22</f>
        <v>0</v>
      </c>
      <c r="AB14" s="52">
        <f>D24</f>
        <v>0</v>
      </c>
      <c r="AC14" s="52">
        <f>D26</f>
        <v>0</v>
      </c>
      <c r="AD14" s="52">
        <f>D28</f>
        <v>0</v>
      </c>
      <c r="AE14" s="52">
        <f>D30</f>
        <v>0</v>
      </c>
      <c r="AF14" s="52">
        <f>D32</f>
        <v>0</v>
      </c>
      <c r="AG14" s="52">
        <f>D35</f>
        <v>0</v>
      </c>
      <c r="AH14" s="52">
        <f>D37</f>
        <v>0</v>
      </c>
      <c r="AI14" s="52">
        <f>D40</f>
        <v>0</v>
      </c>
      <c r="AJ14" s="52">
        <f>D42</f>
        <v>0</v>
      </c>
      <c r="AK14" s="52">
        <f>D44</f>
        <v>0</v>
      </c>
      <c r="AL14" s="52">
        <f>D47</f>
        <v>0</v>
      </c>
      <c r="AM14" s="52">
        <f>D49</f>
        <v>0</v>
      </c>
      <c r="AN14" s="52">
        <f>D52</f>
        <v>0</v>
      </c>
      <c r="AO14" s="52">
        <f>D55</f>
        <v>0</v>
      </c>
      <c r="AP14" s="52">
        <f>D58</f>
        <v>0</v>
      </c>
      <c r="AQ14" s="52">
        <f>J14</f>
        <v>0</v>
      </c>
      <c r="AR14" s="52">
        <f>J18</f>
        <v>0</v>
      </c>
      <c r="AS14" s="52">
        <f>J22</f>
        <v>0</v>
      </c>
      <c r="AT14" s="52">
        <f>J25</f>
        <v>0</v>
      </c>
      <c r="AU14" s="52">
        <f>J30</f>
        <v>0</v>
      </c>
      <c r="AV14" s="52">
        <f>J36</f>
        <v>0</v>
      </c>
      <c r="AW14" s="52">
        <f>J43</f>
        <v>53</v>
      </c>
      <c r="AX14" s="52">
        <f>J52</f>
        <v>80</v>
      </c>
      <c r="AY14" s="52">
        <f>P14</f>
        <v>80</v>
      </c>
      <c r="AZ14" s="35">
        <f>AVERAGEIF(V14:AY14,"&gt;0")</f>
        <v>71</v>
      </c>
    </row>
    <row r="15" spans="1:52" s="11" customFormat="1" ht="17.100000000000001" customHeight="1" thickBot="1" x14ac:dyDescent="0.3">
      <c r="A15" s="70"/>
      <c r="B15" s="73" t="s">
        <v>4</v>
      </c>
      <c r="C15" s="73"/>
      <c r="D15" s="72"/>
      <c r="E15" s="72"/>
      <c r="G15" s="70"/>
      <c r="H15" s="73" t="s">
        <v>53</v>
      </c>
      <c r="I15" s="73"/>
      <c r="J15" s="72"/>
      <c r="K15" s="72"/>
      <c r="M15" s="70"/>
      <c r="N15" s="73" t="s">
        <v>102</v>
      </c>
      <c r="O15" s="73"/>
      <c r="P15" s="70"/>
      <c r="Q15" s="70"/>
      <c r="T15" s="56"/>
      <c r="U15" s="34" t="s">
        <v>152</v>
      </c>
      <c r="V15" s="52">
        <f>E14</f>
        <v>0</v>
      </c>
      <c r="W15" s="52">
        <f>E16</f>
        <v>0</v>
      </c>
      <c r="X15" s="52">
        <f>E17</f>
        <v>0</v>
      </c>
      <c r="Y15" s="52">
        <f>E19</f>
        <v>0</v>
      </c>
      <c r="Z15" s="52">
        <f>E21</f>
        <v>0</v>
      </c>
      <c r="AA15" s="52">
        <f>E22</f>
        <v>0</v>
      </c>
      <c r="AB15" s="52">
        <f>E24</f>
        <v>0</v>
      </c>
      <c r="AC15" s="52">
        <f>E26</f>
        <v>0</v>
      </c>
      <c r="AD15" s="52">
        <f>E28</f>
        <v>0</v>
      </c>
      <c r="AE15" s="52">
        <f>E30</f>
        <v>0</v>
      </c>
      <c r="AF15" s="52">
        <f>E32</f>
        <v>0</v>
      </c>
      <c r="AG15" s="52">
        <f>E35</f>
        <v>0</v>
      </c>
      <c r="AH15" s="52">
        <f>E37</f>
        <v>0</v>
      </c>
      <c r="AI15" s="52">
        <f>E40</f>
        <v>0</v>
      </c>
      <c r="AJ15" s="52">
        <f>E42</f>
        <v>0</v>
      </c>
      <c r="AK15" s="52">
        <f>E44</f>
        <v>0</v>
      </c>
      <c r="AL15" s="52">
        <f>E47</f>
        <v>0</v>
      </c>
      <c r="AM15" s="52">
        <f>E49</f>
        <v>0</v>
      </c>
      <c r="AN15" s="52">
        <f>E52</f>
        <v>0</v>
      </c>
      <c r="AO15" s="52">
        <f>E55</f>
        <v>0</v>
      </c>
      <c r="AP15" s="52">
        <f>E58</f>
        <v>0</v>
      </c>
      <c r="AQ15" s="52">
        <f>K14</f>
        <v>0</v>
      </c>
      <c r="AR15" s="52">
        <f>K18</f>
        <v>0</v>
      </c>
      <c r="AS15" s="52">
        <f>K22</f>
        <v>0</v>
      </c>
      <c r="AT15" s="52">
        <f>K25</f>
        <v>0</v>
      </c>
      <c r="AU15" s="52">
        <f>K30</f>
        <v>0</v>
      </c>
      <c r="AV15" s="52">
        <f>K36</f>
        <v>0</v>
      </c>
      <c r="AW15" s="52">
        <f>K43</f>
        <v>60</v>
      </c>
      <c r="AX15" s="52">
        <f>K52</f>
        <v>60</v>
      </c>
      <c r="AY15" s="52">
        <f>Q14</f>
        <v>60</v>
      </c>
      <c r="AZ15" s="35">
        <f>AVERAGEIF(V15:AY15,"&gt;0")</f>
        <v>60</v>
      </c>
    </row>
    <row r="16" spans="1:52" s="11" customFormat="1" ht="17.100000000000001" customHeight="1" thickBot="1" x14ac:dyDescent="0.3">
      <c r="A16" s="55">
        <v>2</v>
      </c>
      <c r="B16" s="73" t="s">
        <v>6</v>
      </c>
      <c r="C16" s="73"/>
      <c r="D16" s="54"/>
      <c r="E16" s="54"/>
      <c r="G16" s="70"/>
      <c r="H16" s="73" t="s">
        <v>54</v>
      </c>
      <c r="I16" s="73"/>
      <c r="J16" s="72"/>
      <c r="K16" s="72"/>
      <c r="M16" s="70"/>
      <c r="N16" s="73" t="s">
        <v>103</v>
      </c>
      <c r="O16" s="73"/>
      <c r="P16" s="70"/>
      <c r="Q16" s="70"/>
      <c r="T16" s="56"/>
      <c r="U16" s="32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s="11" customFormat="1" ht="17.100000000000001" customHeight="1" thickBot="1" x14ac:dyDescent="0.3">
      <c r="A17" s="70">
        <v>3</v>
      </c>
      <c r="B17" s="73" t="s">
        <v>5</v>
      </c>
      <c r="C17" s="73"/>
      <c r="D17" s="72"/>
      <c r="E17" s="72"/>
      <c r="G17" s="70"/>
      <c r="H17" s="73" t="s">
        <v>55</v>
      </c>
      <c r="I17" s="73"/>
      <c r="J17" s="72"/>
      <c r="K17" s="72"/>
      <c r="M17" s="70"/>
      <c r="N17" s="73" t="s">
        <v>104</v>
      </c>
      <c r="O17" s="73"/>
      <c r="P17" s="70"/>
      <c r="Q17" s="70"/>
      <c r="T17" s="56"/>
      <c r="U17" s="32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</row>
    <row r="18" spans="1:52" s="11" customFormat="1" ht="17.100000000000001" customHeight="1" thickBot="1" x14ac:dyDescent="0.3">
      <c r="A18" s="70"/>
      <c r="B18" s="73" t="s">
        <v>7</v>
      </c>
      <c r="C18" s="73"/>
      <c r="D18" s="72"/>
      <c r="E18" s="72"/>
      <c r="G18" s="70">
        <v>23</v>
      </c>
      <c r="H18" s="73" t="s">
        <v>56</v>
      </c>
      <c r="I18" s="73"/>
      <c r="J18" s="70"/>
      <c r="K18" s="70"/>
      <c r="M18" s="70"/>
      <c r="N18" s="73" t="s">
        <v>105</v>
      </c>
      <c r="O18" s="73"/>
      <c r="P18" s="70"/>
      <c r="Q18" s="70"/>
      <c r="T18" s="56"/>
      <c r="U18" s="32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</row>
    <row r="19" spans="1:52" s="11" customFormat="1" ht="17.100000000000001" customHeight="1" thickBot="1" x14ac:dyDescent="0.3">
      <c r="A19" s="70">
        <v>4</v>
      </c>
      <c r="B19" s="73" t="s">
        <v>8</v>
      </c>
      <c r="C19" s="73"/>
      <c r="D19" s="72"/>
      <c r="E19" s="70"/>
      <c r="G19" s="70"/>
      <c r="H19" s="73" t="s">
        <v>57</v>
      </c>
      <c r="I19" s="73"/>
      <c r="J19" s="70"/>
      <c r="K19" s="70"/>
      <c r="M19" s="70"/>
      <c r="N19" s="73" t="s">
        <v>106</v>
      </c>
      <c r="O19" s="73"/>
      <c r="P19" s="70"/>
      <c r="Q19" s="70"/>
      <c r="T19" s="56"/>
      <c r="U19" s="32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</row>
    <row r="20" spans="1:52" s="11" customFormat="1" ht="17.100000000000001" customHeight="1" thickBot="1" x14ac:dyDescent="0.3">
      <c r="A20" s="70"/>
      <c r="B20" s="73" t="s">
        <v>9</v>
      </c>
      <c r="C20" s="73"/>
      <c r="D20" s="72"/>
      <c r="E20" s="70"/>
      <c r="G20" s="70"/>
      <c r="H20" s="73" t="s">
        <v>58</v>
      </c>
      <c r="I20" s="73"/>
      <c r="J20" s="70"/>
      <c r="K20" s="70"/>
      <c r="M20" s="70"/>
      <c r="N20" s="73" t="s">
        <v>107</v>
      </c>
      <c r="O20" s="73"/>
      <c r="P20" s="70"/>
      <c r="Q20" s="70"/>
      <c r="T20" s="56"/>
      <c r="U20" s="32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</row>
    <row r="21" spans="1:52" s="11" customFormat="1" ht="17.100000000000001" customHeight="1" thickBot="1" x14ac:dyDescent="0.3">
      <c r="A21" s="55">
        <v>5</v>
      </c>
      <c r="B21" s="73" t="s">
        <v>10</v>
      </c>
      <c r="C21" s="73"/>
      <c r="D21" s="54"/>
      <c r="E21" s="54"/>
      <c r="G21" s="70"/>
      <c r="H21" s="73" t="s">
        <v>59</v>
      </c>
      <c r="I21" s="73"/>
      <c r="J21" s="70"/>
      <c r="K21" s="70"/>
      <c r="M21" s="70"/>
      <c r="N21" s="73" t="s">
        <v>108</v>
      </c>
      <c r="O21" s="73"/>
      <c r="P21" s="70"/>
      <c r="Q21" s="70"/>
      <c r="T21" s="56"/>
      <c r="U21" s="32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</row>
    <row r="22" spans="1:52" s="11" customFormat="1" ht="17.100000000000001" customHeight="1" thickBot="1" x14ac:dyDescent="0.3">
      <c r="A22" s="70">
        <v>6</v>
      </c>
      <c r="B22" s="73" t="s">
        <v>11</v>
      </c>
      <c r="C22" s="73"/>
      <c r="D22" s="72"/>
      <c r="E22" s="70"/>
      <c r="G22" s="70">
        <v>24</v>
      </c>
      <c r="H22" s="73" t="s">
        <v>60</v>
      </c>
      <c r="I22" s="73"/>
      <c r="J22" s="70"/>
      <c r="K22" s="70"/>
      <c r="M22" s="70"/>
      <c r="N22" s="73" t="s">
        <v>109</v>
      </c>
      <c r="O22" s="73"/>
      <c r="P22" s="70"/>
      <c r="Q22" s="70"/>
      <c r="T22" s="56"/>
      <c r="U22" s="32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</row>
    <row r="23" spans="1:52" s="11" customFormat="1" ht="17.100000000000001" customHeight="1" thickBot="1" x14ac:dyDescent="0.3">
      <c r="A23" s="70"/>
      <c r="B23" s="73" t="s">
        <v>12</v>
      </c>
      <c r="C23" s="73"/>
      <c r="D23" s="72"/>
      <c r="E23" s="70"/>
      <c r="G23" s="70"/>
      <c r="H23" s="73" t="s">
        <v>61</v>
      </c>
      <c r="I23" s="73"/>
      <c r="J23" s="70"/>
      <c r="K23" s="70"/>
      <c r="M23" s="70"/>
      <c r="N23" s="73" t="s">
        <v>110</v>
      </c>
      <c r="O23" s="73"/>
      <c r="P23" s="70"/>
      <c r="Q23" s="70"/>
      <c r="T23" s="56"/>
      <c r="U23" s="32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</row>
    <row r="24" spans="1:52" s="11" customFormat="1" ht="17.100000000000001" customHeight="1" thickBot="1" x14ac:dyDescent="0.3">
      <c r="A24" s="70">
        <v>7</v>
      </c>
      <c r="B24" s="73" t="s">
        <v>13</v>
      </c>
      <c r="C24" s="73"/>
      <c r="D24" s="70"/>
      <c r="E24" s="70"/>
      <c r="G24" s="70"/>
      <c r="H24" s="73" t="s">
        <v>62</v>
      </c>
      <c r="I24" s="73"/>
      <c r="J24" s="70"/>
      <c r="K24" s="70"/>
      <c r="M24" s="70"/>
      <c r="N24" s="73" t="s">
        <v>111</v>
      </c>
      <c r="O24" s="73"/>
      <c r="P24" s="70"/>
      <c r="Q24" s="70"/>
      <c r="T24" s="56"/>
      <c r="U24" s="32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</row>
    <row r="25" spans="1:52" s="11" customFormat="1" ht="17.100000000000001" customHeight="1" thickBot="1" x14ac:dyDescent="0.3">
      <c r="A25" s="70"/>
      <c r="B25" s="73" t="s">
        <v>14</v>
      </c>
      <c r="C25" s="73"/>
      <c r="D25" s="70"/>
      <c r="E25" s="70"/>
      <c r="G25" s="70">
        <v>25</v>
      </c>
      <c r="H25" s="73" t="s">
        <v>63</v>
      </c>
      <c r="I25" s="73"/>
      <c r="J25" s="70"/>
      <c r="K25" s="70"/>
      <c r="M25" s="70"/>
      <c r="N25" s="73" t="s">
        <v>112</v>
      </c>
      <c r="O25" s="73"/>
      <c r="P25" s="70"/>
      <c r="Q25" s="70"/>
      <c r="T25" s="56"/>
      <c r="U25" s="32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</row>
    <row r="26" spans="1:52" s="11" customFormat="1" ht="17.100000000000001" customHeight="1" thickBot="1" x14ac:dyDescent="0.3">
      <c r="A26" s="70">
        <v>8</v>
      </c>
      <c r="B26" s="73" t="s">
        <v>15</v>
      </c>
      <c r="C26" s="73"/>
      <c r="D26" s="70"/>
      <c r="E26" s="70"/>
      <c r="G26" s="70"/>
      <c r="H26" s="73" t="s">
        <v>64</v>
      </c>
      <c r="I26" s="73"/>
      <c r="J26" s="70"/>
      <c r="K26" s="70"/>
      <c r="M26" s="70"/>
      <c r="N26" s="73" t="s">
        <v>113</v>
      </c>
      <c r="O26" s="73"/>
      <c r="P26" s="70"/>
      <c r="Q26" s="70"/>
      <c r="T26" s="56"/>
      <c r="U26" s="32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</row>
    <row r="27" spans="1:52" s="11" customFormat="1" ht="17.100000000000001" customHeight="1" thickBot="1" x14ac:dyDescent="0.3">
      <c r="A27" s="70"/>
      <c r="B27" s="73" t="s">
        <v>16</v>
      </c>
      <c r="C27" s="73"/>
      <c r="D27" s="70"/>
      <c r="E27" s="70"/>
      <c r="G27" s="70"/>
      <c r="H27" s="73" t="s">
        <v>65</v>
      </c>
      <c r="I27" s="73"/>
      <c r="J27" s="70"/>
      <c r="K27" s="70"/>
      <c r="M27" s="70"/>
      <c r="N27" s="73" t="s">
        <v>114</v>
      </c>
      <c r="O27" s="73"/>
      <c r="P27" s="70"/>
      <c r="Q27" s="70"/>
      <c r="T27" s="56"/>
      <c r="U27" s="32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</row>
    <row r="28" spans="1:52" s="11" customFormat="1" ht="17.100000000000001" customHeight="1" thickBot="1" x14ac:dyDescent="0.3">
      <c r="A28" s="70">
        <v>9</v>
      </c>
      <c r="B28" s="73" t="s">
        <v>17</v>
      </c>
      <c r="C28" s="73"/>
      <c r="D28" s="70"/>
      <c r="E28" s="70"/>
      <c r="G28" s="70"/>
      <c r="H28" s="73" t="s">
        <v>66</v>
      </c>
      <c r="I28" s="73"/>
      <c r="J28" s="70"/>
      <c r="K28" s="70"/>
      <c r="M28" s="70"/>
      <c r="N28" s="73" t="s">
        <v>115</v>
      </c>
      <c r="O28" s="73"/>
      <c r="P28" s="70"/>
      <c r="Q28" s="70"/>
      <c r="T28" s="56"/>
      <c r="U28" s="32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</row>
    <row r="29" spans="1:52" s="11" customFormat="1" ht="17.100000000000001" customHeight="1" thickBot="1" x14ac:dyDescent="0.3">
      <c r="A29" s="70"/>
      <c r="B29" s="73" t="s">
        <v>18</v>
      </c>
      <c r="C29" s="73"/>
      <c r="D29" s="70"/>
      <c r="E29" s="70"/>
      <c r="G29" s="70"/>
      <c r="H29" s="73" t="s">
        <v>67</v>
      </c>
      <c r="I29" s="73"/>
      <c r="J29" s="70"/>
      <c r="K29" s="70"/>
      <c r="M29" s="70"/>
      <c r="N29" s="73" t="s">
        <v>116</v>
      </c>
      <c r="O29" s="73"/>
      <c r="P29" s="70"/>
      <c r="Q29" s="70"/>
      <c r="T29" s="56"/>
      <c r="U29" s="32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</row>
    <row r="30" spans="1:52" s="11" customFormat="1" ht="17.100000000000001" customHeight="1" thickBot="1" x14ac:dyDescent="0.3">
      <c r="A30" s="70">
        <v>10</v>
      </c>
      <c r="B30" s="73" t="s">
        <v>19</v>
      </c>
      <c r="C30" s="73"/>
      <c r="D30" s="70"/>
      <c r="E30" s="70"/>
      <c r="G30" s="70">
        <v>26</v>
      </c>
      <c r="H30" s="73" t="s">
        <v>68</v>
      </c>
      <c r="I30" s="73"/>
      <c r="J30" s="70"/>
      <c r="K30" s="70"/>
      <c r="M30" s="70"/>
      <c r="N30" s="73" t="s">
        <v>117</v>
      </c>
      <c r="O30" s="73"/>
      <c r="P30" s="70"/>
      <c r="Q30" s="70"/>
      <c r="T30" s="56"/>
      <c r="U30" s="32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52" s="11" customFormat="1" ht="17.100000000000001" customHeight="1" thickBot="1" x14ac:dyDescent="0.3">
      <c r="A31" s="70"/>
      <c r="B31" s="73" t="s">
        <v>20</v>
      </c>
      <c r="C31" s="73"/>
      <c r="D31" s="70"/>
      <c r="E31" s="70"/>
      <c r="G31" s="70"/>
      <c r="H31" s="73" t="s">
        <v>69</v>
      </c>
      <c r="I31" s="73"/>
      <c r="J31" s="70"/>
      <c r="K31" s="70"/>
      <c r="M31" s="70"/>
      <c r="N31" s="73" t="s">
        <v>118</v>
      </c>
      <c r="O31" s="73"/>
      <c r="P31" s="70"/>
      <c r="Q31" s="70"/>
      <c r="T31" s="56"/>
      <c r="U31" s="32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52" s="11" customFormat="1" ht="17.100000000000001" customHeight="1" thickBot="1" x14ac:dyDescent="0.3">
      <c r="A32" s="70">
        <v>11</v>
      </c>
      <c r="B32" s="73" t="s">
        <v>21</v>
      </c>
      <c r="C32" s="73"/>
      <c r="D32" s="72"/>
      <c r="E32" s="72"/>
      <c r="G32" s="70"/>
      <c r="H32" s="73" t="s">
        <v>70</v>
      </c>
      <c r="I32" s="73"/>
      <c r="J32" s="70"/>
      <c r="K32" s="70"/>
      <c r="M32" s="70"/>
      <c r="N32" s="73" t="s">
        <v>119</v>
      </c>
      <c r="O32" s="73"/>
      <c r="P32" s="70"/>
      <c r="Q32" s="70"/>
      <c r="T32" s="56"/>
      <c r="U32" s="32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 spans="1:52" s="11" customFormat="1" ht="17.100000000000001" customHeight="1" thickBot="1" x14ac:dyDescent="0.3">
      <c r="A33" s="70"/>
      <c r="B33" s="73" t="s">
        <v>22</v>
      </c>
      <c r="C33" s="73"/>
      <c r="D33" s="72"/>
      <c r="E33" s="72"/>
      <c r="G33" s="70"/>
      <c r="H33" s="73" t="s">
        <v>71</v>
      </c>
      <c r="I33" s="73"/>
      <c r="J33" s="70"/>
      <c r="K33" s="70"/>
      <c r="M33" s="70"/>
      <c r="N33" s="73" t="s">
        <v>120</v>
      </c>
      <c r="O33" s="73"/>
      <c r="P33" s="70"/>
      <c r="Q33" s="70"/>
      <c r="T33" s="56"/>
      <c r="U33" s="32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 spans="1:52" s="11" customFormat="1" ht="17.100000000000001" customHeight="1" thickBot="1" x14ac:dyDescent="0.3">
      <c r="A34" s="70"/>
      <c r="B34" s="73" t="s">
        <v>23</v>
      </c>
      <c r="C34" s="73"/>
      <c r="D34" s="72"/>
      <c r="E34" s="72"/>
      <c r="G34" s="70"/>
      <c r="H34" s="73" t="s">
        <v>72</v>
      </c>
      <c r="I34" s="73"/>
      <c r="J34" s="70"/>
      <c r="K34" s="70"/>
      <c r="M34" s="70"/>
      <c r="N34" s="73" t="s">
        <v>121</v>
      </c>
      <c r="O34" s="73"/>
      <c r="P34" s="70"/>
      <c r="Q34" s="70"/>
      <c r="T34" s="56"/>
      <c r="U34" s="32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</row>
    <row r="35" spans="1:52" s="11" customFormat="1" ht="17.100000000000001" customHeight="1" thickBot="1" x14ac:dyDescent="0.3">
      <c r="A35" s="70">
        <v>12</v>
      </c>
      <c r="B35" s="73" t="s">
        <v>24</v>
      </c>
      <c r="C35" s="73"/>
      <c r="D35" s="70"/>
      <c r="E35" s="70"/>
      <c r="G35" s="70"/>
      <c r="H35" s="73" t="s">
        <v>73</v>
      </c>
      <c r="I35" s="73"/>
      <c r="J35" s="70"/>
      <c r="K35" s="70"/>
      <c r="M35" s="70"/>
      <c r="N35" s="73" t="s">
        <v>122</v>
      </c>
      <c r="O35" s="73"/>
      <c r="P35" s="70"/>
      <c r="Q35" s="70"/>
      <c r="T35" s="56"/>
      <c r="U35" s="32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</row>
    <row r="36" spans="1:52" s="11" customFormat="1" ht="17.100000000000001" customHeight="1" thickBot="1" x14ac:dyDescent="0.3">
      <c r="A36" s="70"/>
      <c r="B36" s="73" t="s">
        <v>25</v>
      </c>
      <c r="C36" s="73"/>
      <c r="D36" s="70"/>
      <c r="E36" s="70"/>
      <c r="G36" s="70">
        <v>27</v>
      </c>
      <c r="H36" s="73" t="s">
        <v>74</v>
      </c>
      <c r="I36" s="73"/>
      <c r="J36" s="70"/>
      <c r="K36" s="70"/>
      <c r="M36" s="70"/>
      <c r="N36" s="73" t="s">
        <v>123</v>
      </c>
      <c r="O36" s="73"/>
      <c r="P36" s="70"/>
      <c r="Q36" s="70"/>
      <c r="T36" s="56"/>
      <c r="U36" s="32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</row>
    <row r="37" spans="1:52" s="11" customFormat="1" ht="17.100000000000001" customHeight="1" thickBot="1" x14ac:dyDescent="0.3">
      <c r="A37" s="70">
        <v>13</v>
      </c>
      <c r="B37" s="73" t="s">
        <v>26</v>
      </c>
      <c r="C37" s="73"/>
      <c r="D37" s="72"/>
      <c r="E37" s="72"/>
      <c r="G37" s="70"/>
      <c r="H37" s="73" t="s">
        <v>75</v>
      </c>
      <c r="I37" s="73"/>
      <c r="J37" s="70"/>
      <c r="K37" s="70"/>
      <c r="M37" s="70"/>
      <c r="N37" s="73" t="s">
        <v>124</v>
      </c>
      <c r="O37" s="73"/>
      <c r="P37" s="70"/>
      <c r="Q37" s="70"/>
      <c r="T37" s="56"/>
      <c r="U37" s="32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</row>
    <row r="38" spans="1:52" s="11" customFormat="1" ht="17.100000000000001" customHeight="1" thickBot="1" x14ac:dyDescent="0.3">
      <c r="A38" s="70"/>
      <c r="B38" s="73" t="s">
        <v>27</v>
      </c>
      <c r="C38" s="73"/>
      <c r="D38" s="72"/>
      <c r="E38" s="72"/>
      <c r="G38" s="70"/>
      <c r="H38" s="73" t="s">
        <v>76</v>
      </c>
      <c r="I38" s="73"/>
      <c r="J38" s="70"/>
      <c r="K38" s="70"/>
      <c r="M38" s="70"/>
      <c r="N38" s="73" t="s">
        <v>125</v>
      </c>
      <c r="O38" s="73"/>
      <c r="P38" s="70"/>
      <c r="Q38" s="70"/>
      <c r="T38" s="56"/>
      <c r="U38" s="32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</row>
    <row r="39" spans="1:52" s="11" customFormat="1" ht="17.100000000000001" customHeight="1" thickBot="1" x14ac:dyDescent="0.3">
      <c r="A39" s="70"/>
      <c r="B39" s="73" t="s">
        <v>28</v>
      </c>
      <c r="C39" s="73"/>
      <c r="D39" s="72"/>
      <c r="E39" s="72"/>
      <c r="G39" s="70"/>
      <c r="H39" s="73" t="s">
        <v>77</v>
      </c>
      <c r="I39" s="73"/>
      <c r="J39" s="70"/>
      <c r="K39" s="70"/>
      <c r="M39" s="70"/>
      <c r="N39" s="73" t="s">
        <v>126</v>
      </c>
      <c r="O39" s="73"/>
      <c r="P39" s="70"/>
      <c r="Q39" s="70"/>
      <c r="T39" s="56"/>
      <c r="U39" s="32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 spans="1:52" s="11" customFormat="1" ht="17.100000000000001" customHeight="1" thickBot="1" x14ac:dyDescent="0.3">
      <c r="A40" s="70">
        <v>14</v>
      </c>
      <c r="B40" s="73" t="s">
        <v>29</v>
      </c>
      <c r="C40" s="73"/>
      <c r="D40" s="70"/>
      <c r="E40" s="70"/>
      <c r="G40" s="70"/>
      <c r="H40" s="73" t="s">
        <v>78</v>
      </c>
      <c r="I40" s="73"/>
      <c r="J40" s="70"/>
      <c r="K40" s="70"/>
      <c r="M40" s="70"/>
      <c r="N40" s="73" t="s">
        <v>127</v>
      </c>
      <c r="O40" s="73"/>
      <c r="P40" s="70"/>
      <c r="Q40" s="70"/>
      <c r="T40" s="56"/>
      <c r="U40" s="32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</row>
    <row r="41" spans="1:52" s="11" customFormat="1" ht="17.100000000000001" customHeight="1" thickBot="1" x14ac:dyDescent="0.3">
      <c r="A41" s="70"/>
      <c r="B41" s="73" t="s">
        <v>30</v>
      </c>
      <c r="C41" s="73"/>
      <c r="D41" s="70"/>
      <c r="E41" s="70"/>
      <c r="G41" s="70"/>
      <c r="H41" s="73" t="s">
        <v>79</v>
      </c>
      <c r="I41" s="73"/>
      <c r="J41" s="70"/>
      <c r="K41" s="70"/>
      <c r="M41" s="70"/>
      <c r="N41" s="73" t="s">
        <v>128</v>
      </c>
      <c r="O41" s="73"/>
      <c r="P41" s="70"/>
      <c r="Q41" s="70"/>
      <c r="T41" s="56"/>
      <c r="U41" s="32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  <row r="42" spans="1:52" s="11" customFormat="1" ht="17.100000000000001" customHeight="1" thickBot="1" x14ac:dyDescent="0.3">
      <c r="A42" s="70">
        <v>15</v>
      </c>
      <c r="B42" s="73" t="s">
        <v>31</v>
      </c>
      <c r="C42" s="73"/>
      <c r="D42" s="70"/>
      <c r="E42" s="70"/>
      <c r="G42" s="70"/>
      <c r="H42" s="73" t="s">
        <v>80</v>
      </c>
      <c r="I42" s="73"/>
      <c r="J42" s="70"/>
      <c r="K42" s="70"/>
      <c r="M42" s="70"/>
      <c r="N42" s="73" t="s">
        <v>129</v>
      </c>
      <c r="O42" s="73"/>
      <c r="P42" s="70"/>
      <c r="Q42" s="70"/>
      <c r="T42" s="56"/>
      <c r="U42" s="32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</row>
    <row r="43" spans="1:52" s="11" customFormat="1" ht="17.100000000000001" customHeight="1" thickBot="1" x14ac:dyDescent="0.3">
      <c r="A43" s="70"/>
      <c r="B43" s="73" t="s">
        <v>32</v>
      </c>
      <c r="C43" s="73"/>
      <c r="D43" s="70"/>
      <c r="E43" s="70"/>
      <c r="G43" s="70">
        <v>28</v>
      </c>
      <c r="H43" s="73" t="s">
        <v>81</v>
      </c>
      <c r="I43" s="73"/>
      <c r="J43" s="94">
        <v>53</v>
      </c>
      <c r="K43" s="70">
        <v>60</v>
      </c>
      <c r="M43" s="70"/>
      <c r="N43" s="73" t="s">
        <v>130</v>
      </c>
      <c r="O43" s="73"/>
      <c r="P43" s="70"/>
      <c r="Q43" s="70"/>
      <c r="T43" s="56"/>
      <c r="U43" s="32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</row>
    <row r="44" spans="1:52" s="11" customFormat="1" ht="17.100000000000001" customHeight="1" thickBot="1" x14ac:dyDescent="0.3">
      <c r="A44" s="70">
        <v>16</v>
      </c>
      <c r="B44" s="73" t="s">
        <v>33</v>
      </c>
      <c r="C44" s="73"/>
      <c r="D44" s="72"/>
      <c r="E44" s="72"/>
      <c r="G44" s="70"/>
      <c r="H44" s="73" t="s">
        <v>82</v>
      </c>
      <c r="I44" s="73"/>
      <c r="J44" s="94"/>
      <c r="K44" s="70"/>
      <c r="M44" s="70"/>
      <c r="N44" s="73" t="s">
        <v>131</v>
      </c>
      <c r="O44" s="73"/>
      <c r="P44" s="70"/>
      <c r="Q44" s="70"/>
      <c r="T44" s="56"/>
      <c r="U44" s="32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</row>
    <row r="45" spans="1:52" s="11" customFormat="1" ht="17.100000000000001" customHeight="1" thickBot="1" x14ac:dyDescent="0.3">
      <c r="A45" s="70"/>
      <c r="B45" s="73" t="s">
        <v>34</v>
      </c>
      <c r="C45" s="73"/>
      <c r="D45" s="72"/>
      <c r="E45" s="72"/>
      <c r="G45" s="70"/>
      <c r="H45" s="73" t="s">
        <v>83</v>
      </c>
      <c r="I45" s="73"/>
      <c r="J45" s="94"/>
      <c r="K45" s="70"/>
      <c r="M45" s="70"/>
      <c r="N45" s="73" t="s">
        <v>132</v>
      </c>
      <c r="O45" s="73"/>
      <c r="P45" s="70"/>
      <c r="Q45" s="70"/>
      <c r="T45" s="56"/>
      <c r="U45" s="32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</row>
    <row r="46" spans="1:52" s="11" customFormat="1" ht="17.100000000000001" customHeight="1" thickBot="1" x14ac:dyDescent="0.3">
      <c r="A46" s="70"/>
      <c r="B46" s="73" t="s">
        <v>35</v>
      </c>
      <c r="C46" s="73"/>
      <c r="D46" s="72"/>
      <c r="E46" s="72"/>
      <c r="G46" s="70"/>
      <c r="H46" s="73" t="s">
        <v>84</v>
      </c>
      <c r="I46" s="73"/>
      <c r="J46" s="94"/>
      <c r="K46" s="70"/>
      <c r="M46" s="70"/>
      <c r="N46" s="73" t="s">
        <v>133</v>
      </c>
      <c r="O46" s="73"/>
      <c r="P46" s="70"/>
      <c r="Q46" s="70"/>
      <c r="T46" s="56"/>
      <c r="U46" s="32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</row>
    <row r="47" spans="1:52" s="11" customFormat="1" ht="17.100000000000001" customHeight="1" thickBot="1" x14ac:dyDescent="0.3">
      <c r="A47" s="70">
        <v>17</v>
      </c>
      <c r="B47" s="73" t="s">
        <v>36</v>
      </c>
      <c r="C47" s="73"/>
      <c r="D47" s="70"/>
      <c r="E47" s="70"/>
      <c r="G47" s="70"/>
      <c r="H47" s="73" t="s">
        <v>85</v>
      </c>
      <c r="I47" s="73"/>
      <c r="J47" s="94"/>
      <c r="K47" s="70"/>
      <c r="M47" s="70"/>
      <c r="N47" s="73" t="s">
        <v>134</v>
      </c>
      <c r="O47" s="73"/>
      <c r="P47" s="70"/>
      <c r="Q47" s="70"/>
      <c r="T47" s="56"/>
      <c r="U47" s="32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</row>
    <row r="48" spans="1:52" s="11" customFormat="1" ht="17.100000000000001" customHeight="1" thickBot="1" x14ac:dyDescent="0.3">
      <c r="A48" s="70"/>
      <c r="B48" s="73" t="s">
        <v>37</v>
      </c>
      <c r="C48" s="73"/>
      <c r="D48" s="70"/>
      <c r="E48" s="70"/>
      <c r="G48" s="70"/>
      <c r="H48" s="73" t="s">
        <v>86</v>
      </c>
      <c r="I48" s="73"/>
      <c r="J48" s="94"/>
      <c r="K48" s="70"/>
      <c r="M48" s="70"/>
      <c r="N48" s="73" t="s">
        <v>135</v>
      </c>
      <c r="O48" s="73"/>
      <c r="P48" s="70"/>
      <c r="Q48" s="70"/>
      <c r="T48" s="56"/>
      <c r="U48" s="32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</row>
    <row r="49" spans="1:52" s="11" customFormat="1" ht="17.100000000000001" customHeight="1" thickBot="1" x14ac:dyDescent="0.3">
      <c r="A49" s="70">
        <v>18</v>
      </c>
      <c r="B49" s="73" t="s">
        <v>38</v>
      </c>
      <c r="C49" s="73"/>
      <c r="D49" s="72"/>
      <c r="E49" s="72"/>
      <c r="G49" s="70"/>
      <c r="H49" s="73" t="s">
        <v>87</v>
      </c>
      <c r="I49" s="73"/>
      <c r="J49" s="94"/>
      <c r="K49" s="70"/>
      <c r="M49" s="70"/>
      <c r="N49" s="73" t="s">
        <v>136</v>
      </c>
      <c r="O49" s="73"/>
      <c r="P49" s="70"/>
      <c r="Q49" s="70"/>
      <c r="T49" s="56"/>
      <c r="U49" s="32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</row>
    <row r="50" spans="1:52" s="11" customFormat="1" ht="17.100000000000001" customHeight="1" thickBot="1" x14ac:dyDescent="0.3">
      <c r="A50" s="70"/>
      <c r="B50" s="73" t="s">
        <v>39</v>
      </c>
      <c r="C50" s="73"/>
      <c r="D50" s="72"/>
      <c r="E50" s="72"/>
      <c r="G50" s="70"/>
      <c r="H50" s="93" t="s">
        <v>88</v>
      </c>
      <c r="I50" s="93"/>
      <c r="J50" s="94"/>
      <c r="K50" s="70"/>
      <c r="M50" s="71"/>
      <c r="N50" s="84" t="s">
        <v>137</v>
      </c>
      <c r="O50" s="84"/>
      <c r="P50" s="71"/>
      <c r="Q50" s="71"/>
      <c r="T50" s="56"/>
      <c r="U50" s="32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</row>
    <row r="51" spans="1:52" s="11" customFormat="1" ht="17.100000000000001" customHeight="1" thickTop="1" thickBot="1" x14ac:dyDescent="0.3">
      <c r="A51" s="70"/>
      <c r="B51" s="73" t="s">
        <v>41</v>
      </c>
      <c r="C51" s="73"/>
      <c r="D51" s="72"/>
      <c r="E51" s="72"/>
      <c r="G51" s="70"/>
      <c r="H51" s="93" t="s">
        <v>89</v>
      </c>
      <c r="I51" s="93"/>
      <c r="J51" s="94"/>
      <c r="K51" s="70"/>
      <c r="M51" s="74" t="s">
        <v>145</v>
      </c>
      <c r="N51" s="74"/>
      <c r="O51" s="74"/>
      <c r="P51" s="82">
        <f>AZ14</f>
        <v>71</v>
      </c>
      <c r="Q51" s="82">
        <f>AZ15</f>
        <v>60</v>
      </c>
      <c r="T51" s="56"/>
      <c r="U51" s="32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</row>
    <row r="52" spans="1:52" s="11" customFormat="1" ht="17.100000000000001" customHeight="1" thickBot="1" x14ac:dyDescent="0.3">
      <c r="A52" s="70">
        <v>19</v>
      </c>
      <c r="B52" s="73" t="s">
        <v>42</v>
      </c>
      <c r="C52" s="73"/>
      <c r="D52" s="72"/>
      <c r="E52" s="72"/>
      <c r="G52" s="70">
        <v>29</v>
      </c>
      <c r="H52" s="73" t="s">
        <v>90</v>
      </c>
      <c r="I52" s="73"/>
      <c r="J52" s="70">
        <v>80</v>
      </c>
      <c r="K52" s="70">
        <v>60</v>
      </c>
      <c r="M52" s="75"/>
      <c r="N52" s="75"/>
      <c r="O52" s="75"/>
      <c r="P52" s="83"/>
      <c r="Q52" s="83"/>
      <c r="T52" s="56"/>
      <c r="U52" s="32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</row>
    <row r="53" spans="1:52" s="11" customFormat="1" ht="17.100000000000001" customHeight="1" thickBot="1" x14ac:dyDescent="0.3">
      <c r="A53" s="70"/>
      <c r="B53" s="73" t="s">
        <v>40</v>
      </c>
      <c r="C53" s="73"/>
      <c r="D53" s="72"/>
      <c r="E53" s="72"/>
      <c r="G53" s="70"/>
      <c r="H53" s="73" t="s">
        <v>91</v>
      </c>
      <c r="I53" s="73"/>
      <c r="J53" s="70"/>
      <c r="K53" s="70"/>
      <c r="M53" s="39" t="s">
        <v>163</v>
      </c>
      <c r="N53" s="13"/>
      <c r="P53" s="56"/>
      <c r="Q53" s="56"/>
      <c r="T53" s="56"/>
      <c r="U53" s="32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</row>
    <row r="54" spans="1:52" s="11" customFormat="1" ht="17.100000000000001" customHeight="1" thickBot="1" x14ac:dyDescent="0.3">
      <c r="A54" s="70"/>
      <c r="B54" s="73" t="s">
        <v>43</v>
      </c>
      <c r="C54" s="73"/>
      <c r="D54" s="72"/>
      <c r="E54" s="72"/>
      <c r="G54" s="70"/>
      <c r="H54" s="73" t="s">
        <v>92</v>
      </c>
      <c r="I54" s="73"/>
      <c r="J54" s="70"/>
      <c r="K54" s="70"/>
      <c r="M54" s="12"/>
      <c r="N54" s="15"/>
      <c r="P54" s="56"/>
      <c r="Q54" s="56"/>
      <c r="T54" s="56"/>
      <c r="U54" s="32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</row>
    <row r="55" spans="1:52" s="11" customFormat="1" ht="17.100000000000001" customHeight="1" thickBot="1" x14ac:dyDescent="0.45">
      <c r="A55" s="70">
        <v>20</v>
      </c>
      <c r="B55" s="73" t="s">
        <v>44</v>
      </c>
      <c r="C55" s="73"/>
      <c r="D55" s="72"/>
      <c r="E55" s="72"/>
      <c r="G55" s="70"/>
      <c r="H55" s="73" t="s">
        <v>93</v>
      </c>
      <c r="I55" s="73"/>
      <c r="J55" s="70"/>
      <c r="K55" s="70"/>
      <c r="M55" s="85" t="s">
        <v>175</v>
      </c>
      <c r="N55" s="85"/>
      <c r="O55" s="85"/>
      <c r="P55" s="85"/>
      <c r="Q55" s="85"/>
      <c r="T55" s="56"/>
      <c r="U55" s="32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</row>
    <row r="56" spans="1:52" s="11" customFormat="1" ht="17.100000000000001" customHeight="1" thickBot="1" x14ac:dyDescent="0.45">
      <c r="A56" s="70"/>
      <c r="B56" s="73" t="s">
        <v>45</v>
      </c>
      <c r="C56" s="73"/>
      <c r="D56" s="72"/>
      <c r="E56" s="72"/>
      <c r="G56" s="70"/>
      <c r="H56" s="73" t="s">
        <v>94</v>
      </c>
      <c r="I56" s="73"/>
      <c r="J56" s="70"/>
      <c r="K56" s="70"/>
      <c r="M56" s="85" t="s">
        <v>190</v>
      </c>
      <c r="N56" s="85"/>
      <c r="O56" s="85"/>
      <c r="P56" s="85"/>
      <c r="Q56" s="85"/>
      <c r="T56" s="56"/>
      <c r="U56" s="32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</row>
    <row r="57" spans="1:52" s="11" customFormat="1" ht="17.100000000000001" customHeight="1" thickBot="1" x14ac:dyDescent="0.3">
      <c r="A57" s="70"/>
      <c r="B57" s="73" t="s">
        <v>46</v>
      </c>
      <c r="C57" s="73"/>
      <c r="D57" s="72"/>
      <c r="E57" s="72"/>
      <c r="G57" s="70"/>
      <c r="H57" s="73" t="s">
        <v>95</v>
      </c>
      <c r="I57" s="73"/>
      <c r="J57" s="70"/>
      <c r="K57" s="70"/>
      <c r="M57" s="12"/>
      <c r="N57" s="15"/>
      <c r="P57" s="61"/>
      <c r="Q57" s="61"/>
      <c r="T57" s="56"/>
      <c r="U57" s="32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</row>
    <row r="58" spans="1:52" s="11" customFormat="1" ht="17.100000000000001" customHeight="1" thickBot="1" x14ac:dyDescent="0.3">
      <c r="A58" s="70">
        <v>21</v>
      </c>
      <c r="B58" s="73" t="s">
        <v>47</v>
      </c>
      <c r="C58" s="73"/>
      <c r="D58" s="72"/>
      <c r="E58" s="72"/>
      <c r="G58" s="70"/>
      <c r="H58" s="73" t="s">
        <v>96</v>
      </c>
      <c r="I58" s="73"/>
      <c r="J58" s="70"/>
      <c r="K58" s="70"/>
      <c r="M58" s="86" t="s">
        <v>174</v>
      </c>
      <c r="N58" s="86"/>
      <c r="O58" s="86"/>
      <c r="P58" s="86"/>
      <c r="Q58" s="86"/>
      <c r="T58" s="56"/>
      <c r="U58" s="32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</row>
    <row r="59" spans="1:52" s="11" customFormat="1" ht="17.100000000000001" customHeight="1" thickBot="1" x14ac:dyDescent="0.3">
      <c r="A59" s="70"/>
      <c r="B59" s="73" t="s">
        <v>48</v>
      </c>
      <c r="C59" s="73"/>
      <c r="D59" s="72"/>
      <c r="E59" s="72"/>
      <c r="G59" s="70"/>
      <c r="H59" s="73" t="s">
        <v>97</v>
      </c>
      <c r="I59" s="73"/>
      <c r="J59" s="70"/>
      <c r="K59" s="70"/>
      <c r="M59" s="86"/>
      <c r="N59" s="86"/>
      <c r="O59" s="86"/>
      <c r="P59" s="86"/>
      <c r="Q59" s="86"/>
      <c r="T59" s="56"/>
      <c r="U59" s="32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</row>
    <row r="60" spans="1:52" s="11" customFormat="1" ht="17.100000000000001" customHeight="1" thickBot="1" x14ac:dyDescent="0.3">
      <c r="A60" s="70"/>
      <c r="B60" s="73" t="s">
        <v>49</v>
      </c>
      <c r="C60" s="73"/>
      <c r="D60" s="72"/>
      <c r="E60" s="72"/>
      <c r="G60" s="70"/>
      <c r="H60" s="73" t="s">
        <v>98</v>
      </c>
      <c r="I60" s="73"/>
      <c r="J60" s="70"/>
      <c r="K60" s="70"/>
      <c r="M60" s="68"/>
      <c r="N60" s="69"/>
      <c r="O60" s="69"/>
      <c r="P60" s="68"/>
      <c r="Q60" s="68"/>
      <c r="T60" s="56"/>
      <c r="U60" s="32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</row>
    <row r="61" spans="1:52" s="11" customFormat="1" ht="17.100000000000001" customHeight="1" thickBot="1" x14ac:dyDescent="0.3">
      <c r="A61" s="70"/>
      <c r="B61" s="73" t="s">
        <v>50</v>
      </c>
      <c r="C61" s="73"/>
      <c r="D61" s="72"/>
      <c r="E61" s="72"/>
      <c r="G61" s="70"/>
      <c r="H61" s="73" t="s">
        <v>99</v>
      </c>
      <c r="I61" s="73"/>
      <c r="J61" s="70"/>
      <c r="K61" s="70"/>
      <c r="M61" s="68"/>
      <c r="N61" s="69"/>
      <c r="O61" s="69"/>
      <c r="P61" s="68"/>
      <c r="Q61" s="68"/>
      <c r="T61" s="56"/>
      <c r="U61" s="32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</row>
    <row r="62" spans="1:52" s="11" customFormat="1" ht="17.100000000000001" customHeight="1" thickBot="1" x14ac:dyDescent="0.3">
      <c r="A62" s="70"/>
      <c r="B62" s="73" t="s">
        <v>51</v>
      </c>
      <c r="C62" s="73"/>
      <c r="D62" s="72"/>
      <c r="E62" s="72"/>
      <c r="G62" s="70"/>
      <c r="H62" s="73" t="s">
        <v>100</v>
      </c>
      <c r="I62" s="73"/>
      <c r="J62" s="70"/>
      <c r="K62" s="70"/>
      <c r="M62" s="87" t="s">
        <v>177</v>
      </c>
      <c r="N62" s="87"/>
      <c r="O62" s="87"/>
      <c r="P62" s="87"/>
      <c r="Q62" s="87"/>
      <c r="T62" s="56"/>
      <c r="U62" s="32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</row>
    <row r="63" spans="1:52" ht="6" customHeight="1" x14ac:dyDescent="0.25">
      <c r="M63" s="61"/>
      <c r="N63" s="61"/>
      <c r="O63" s="61"/>
      <c r="P63" s="61"/>
      <c r="Q63" s="61"/>
    </row>
    <row r="64" spans="1:52" x14ac:dyDescent="0.25">
      <c r="B64" s="4"/>
      <c r="E64" s="18"/>
      <c r="F64" s="3"/>
      <c r="H64" s="2"/>
      <c r="M64" s="61"/>
      <c r="P64" s="61"/>
      <c r="Q64" s="61"/>
    </row>
    <row r="65" spans="2:8" x14ac:dyDescent="0.25">
      <c r="B65" s="2"/>
      <c r="H65" s="2"/>
    </row>
    <row r="66" spans="2:8" x14ac:dyDescent="0.25">
      <c r="B66" s="2"/>
      <c r="H66" s="2"/>
    </row>
  </sheetData>
  <mergeCells count="250">
    <mergeCell ref="B54:C54"/>
    <mergeCell ref="H54:I54"/>
    <mergeCell ref="H60:I60"/>
    <mergeCell ref="B61:C61"/>
    <mergeCell ref="H61:I61"/>
    <mergeCell ref="B62:C62"/>
    <mergeCell ref="H62:I62"/>
    <mergeCell ref="M62:Q62"/>
    <mergeCell ref="A58:A62"/>
    <mergeCell ref="B58:C58"/>
    <mergeCell ref="D58:D62"/>
    <mergeCell ref="E58:E62"/>
    <mergeCell ref="H58:I58"/>
    <mergeCell ref="M58:Q58"/>
    <mergeCell ref="B59:C59"/>
    <mergeCell ref="H59:I59"/>
    <mergeCell ref="M59:Q59"/>
    <mergeCell ref="B60:C60"/>
    <mergeCell ref="A55:A57"/>
    <mergeCell ref="B55:C55"/>
    <mergeCell ref="D55:D57"/>
    <mergeCell ref="E55:E57"/>
    <mergeCell ref="H55:I55"/>
    <mergeCell ref="Q51:Q52"/>
    <mergeCell ref="A52:A54"/>
    <mergeCell ref="B52:C52"/>
    <mergeCell ref="D52:D54"/>
    <mergeCell ref="E52:E54"/>
    <mergeCell ref="G52:G62"/>
    <mergeCell ref="H52:I52"/>
    <mergeCell ref="J52:J62"/>
    <mergeCell ref="K52:K62"/>
    <mergeCell ref="B53:C53"/>
    <mergeCell ref="A49:A51"/>
    <mergeCell ref="Q14:Q50"/>
    <mergeCell ref="M55:Q55"/>
    <mergeCell ref="B56:C56"/>
    <mergeCell ref="H56:I56"/>
    <mergeCell ref="M56:Q56"/>
    <mergeCell ref="B57:C57"/>
    <mergeCell ref="H57:I57"/>
    <mergeCell ref="H53:I53"/>
    <mergeCell ref="B51:C51"/>
    <mergeCell ref="H51:I51"/>
    <mergeCell ref="M51:O52"/>
    <mergeCell ref="P51:P52"/>
    <mergeCell ref="B48:C48"/>
    <mergeCell ref="P14:P50"/>
    <mergeCell ref="B15:C15"/>
    <mergeCell ref="H15:I15"/>
    <mergeCell ref="B16:C16"/>
    <mergeCell ref="H16:I16"/>
    <mergeCell ref="H46:I46"/>
    <mergeCell ref="N46:O46"/>
    <mergeCell ref="H43:I43"/>
    <mergeCell ref="J43:J51"/>
    <mergeCell ref="N39:O39"/>
    <mergeCell ref="B46:C46"/>
    <mergeCell ref="E35:E36"/>
    <mergeCell ref="H35:I35"/>
    <mergeCell ref="N35:O35"/>
    <mergeCell ref="B36:C36"/>
    <mergeCell ref="N32:O32"/>
    <mergeCell ref="H50:I50"/>
    <mergeCell ref="N50:O50"/>
    <mergeCell ref="B43:C43"/>
    <mergeCell ref="G43:G51"/>
    <mergeCell ref="H48:I48"/>
    <mergeCell ref="N48:O48"/>
    <mergeCell ref="B49:C49"/>
    <mergeCell ref="D49:D51"/>
    <mergeCell ref="E49:E51"/>
    <mergeCell ref="H49:I49"/>
    <mergeCell ref="N49:O49"/>
    <mergeCell ref="B50:C50"/>
    <mergeCell ref="N40:O40"/>
    <mergeCell ref="B41:C41"/>
    <mergeCell ref="H41:I41"/>
    <mergeCell ref="N41:O41"/>
    <mergeCell ref="A47:A48"/>
    <mergeCell ref="B47:C47"/>
    <mergeCell ref="D47:D48"/>
    <mergeCell ref="E47:E48"/>
    <mergeCell ref="H47:I47"/>
    <mergeCell ref="N47:O47"/>
    <mergeCell ref="K43:K51"/>
    <mergeCell ref="N43:O43"/>
    <mergeCell ref="A44:A46"/>
    <mergeCell ref="B44:C44"/>
    <mergeCell ref="D44:D46"/>
    <mergeCell ref="E44:E46"/>
    <mergeCell ref="H44:I44"/>
    <mergeCell ref="N44:O44"/>
    <mergeCell ref="B45:C45"/>
    <mergeCell ref="H45:I45"/>
    <mergeCell ref="A42:A43"/>
    <mergeCell ref="B42:C42"/>
    <mergeCell ref="D42:D43"/>
    <mergeCell ref="E42:E43"/>
    <mergeCell ref="A37:A39"/>
    <mergeCell ref="B37:C37"/>
    <mergeCell ref="D37:D39"/>
    <mergeCell ref="E37:E39"/>
    <mergeCell ref="H37:I37"/>
    <mergeCell ref="N37:O37"/>
    <mergeCell ref="B38:C38"/>
    <mergeCell ref="H38:I38"/>
    <mergeCell ref="N45:O45"/>
    <mergeCell ref="N38:O38"/>
    <mergeCell ref="B39:C39"/>
    <mergeCell ref="G36:G42"/>
    <mergeCell ref="H36:I36"/>
    <mergeCell ref="J36:J42"/>
    <mergeCell ref="K36:K42"/>
    <mergeCell ref="N36:O36"/>
    <mergeCell ref="H39:I39"/>
    <mergeCell ref="H42:I42"/>
    <mergeCell ref="N42:O42"/>
    <mergeCell ref="A40:A41"/>
    <mergeCell ref="B40:C40"/>
    <mergeCell ref="D40:D41"/>
    <mergeCell ref="E40:E41"/>
    <mergeCell ref="H40:I40"/>
    <mergeCell ref="N33:O33"/>
    <mergeCell ref="B34:C34"/>
    <mergeCell ref="H34:I34"/>
    <mergeCell ref="N34:O34"/>
    <mergeCell ref="J30:J35"/>
    <mergeCell ref="K30:K35"/>
    <mergeCell ref="N30:O30"/>
    <mergeCell ref="B31:C31"/>
    <mergeCell ref="H31:I31"/>
    <mergeCell ref="N31:O31"/>
    <mergeCell ref="B32:C32"/>
    <mergeCell ref="D32:D34"/>
    <mergeCell ref="E32:E34"/>
    <mergeCell ref="H32:I32"/>
    <mergeCell ref="A30:A31"/>
    <mergeCell ref="B30:C30"/>
    <mergeCell ref="D30:D31"/>
    <mergeCell ref="E30:E31"/>
    <mergeCell ref="G30:G35"/>
    <mergeCell ref="H30:I30"/>
    <mergeCell ref="A32:A34"/>
    <mergeCell ref="A35:A36"/>
    <mergeCell ref="B35:C35"/>
    <mergeCell ref="D35:D36"/>
    <mergeCell ref="B33:C33"/>
    <mergeCell ref="H33:I33"/>
    <mergeCell ref="A26:A27"/>
    <mergeCell ref="B26:C26"/>
    <mergeCell ref="D26:D27"/>
    <mergeCell ref="E26:E27"/>
    <mergeCell ref="H26:I26"/>
    <mergeCell ref="N26:O26"/>
    <mergeCell ref="B27:C27"/>
    <mergeCell ref="H27:I27"/>
    <mergeCell ref="N27:O27"/>
    <mergeCell ref="G25:G29"/>
    <mergeCell ref="H25:I25"/>
    <mergeCell ref="J25:J29"/>
    <mergeCell ref="K25:K29"/>
    <mergeCell ref="N25:O25"/>
    <mergeCell ref="A28:A29"/>
    <mergeCell ref="B28:C28"/>
    <mergeCell ref="D28:D29"/>
    <mergeCell ref="E28:E29"/>
    <mergeCell ref="H28:I28"/>
    <mergeCell ref="N28:O28"/>
    <mergeCell ref="B29:C29"/>
    <mergeCell ref="H29:I29"/>
    <mergeCell ref="N29:O29"/>
    <mergeCell ref="B21:C21"/>
    <mergeCell ref="H21:I21"/>
    <mergeCell ref="N21:O21"/>
    <mergeCell ref="A22:A23"/>
    <mergeCell ref="B22:C22"/>
    <mergeCell ref="D22:D23"/>
    <mergeCell ref="E22:E23"/>
    <mergeCell ref="G22:G24"/>
    <mergeCell ref="H22:I22"/>
    <mergeCell ref="J22:J24"/>
    <mergeCell ref="N24:O24"/>
    <mergeCell ref="K22:K24"/>
    <mergeCell ref="N22:O22"/>
    <mergeCell ref="B23:C23"/>
    <mergeCell ref="H23:I23"/>
    <mergeCell ref="N23:O23"/>
    <mergeCell ref="A24:A25"/>
    <mergeCell ref="B24:C24"/>
    <mergeCell ref="D24:D25"/>
    <mergeCell ref="E24:E25"/>
    <mergeCell ref="H24:I24"/>
    <mergeCell ref="B25:C25"/>
    <mergeCell ref="A19:A20"/>
    <mergeCell ref="B19:C19"/>
    <mergeCell ref="D19:D20"/>
    <mergeCell ref="E19:E20"/>
    <mergeCell ref="H19:I19"/>
    <mergeCell ref="N19:O19"/>
    <mergeCell ref="B20:C20"/>
    <mergeCell ref="H20:I20"/>
    <mergeCell ref="N20:O20"/>
    <mergeCell ref="A17:A18"/>
    <mergeCell ref="B17:C17"/>
    <mergeCell ref="D17:D18"/>
    <mergeCell ref="E17:E18"/>
    <mergeCell ref="H17:I17"/>
    <mergeCell ref="N17:O17"/>
    <mergeCell ref="B18:C18"/>
    <mergeCell ref="G18:G21"/>
    <mergeCell ref="H18:I18"/>
    <mergeCell ref="J18:J21"/>
    <mergeCell ref="J14:J17"/>
    <mergeCell ref="K14:K17"/>
    <mergeCell ref="M14:M50"/>
    <mergeCell ref="N14:O14"/>
    <mergeCell ref="N15:O15"/>
    <mergeCell ref="N16:O16"/>
    <mergeCell ref="K18:K21"/>
    <mergeCell ref="N18:O18"/>
    <mergeCell ref="A14:A15"/>
    <mergeCell ref="B14:C14"/>
    <mergeCell ref="D14:D15"/>
    <mergeCell ref="E14:E15"/>
    <mergeCell ref="G14:G17"/>
    <mergeCell ref="H14:I14"/>
    <mergeCell ref="U11:U12"/>
    <mergeCell ref="V11:AY11"/>
    <mergeCell ref="AZ11:AZ12"/>
    <mergeCell ref="A8:B8"/>
    <mergeCell ref="M8:N8"/>
    <mergeCell ref="A9:B9"/>
    <mergeCell ref="M9:N9"/>
    <mergeCell ref="A11:A12"/>
    <mergeCell ref="B11:C12"/>
    <mergeCell ref="D11:E11"/>
    <mergeCell ref="G11:G12"/>
    <mergeCell ref="H11:I12"/>
    <mergeCell ref="J11:K11"/>
    <mergeCell ref="A1:Q1"/>
    <mergeCell ref="A2:Q2"/>
    <mergeCell ref="A3:Q3"/>
    <mergeCell ref="A4:Q4"/>
    <mergeCell ref="A6:Q6"/>
    <mergeCell ref="A7:B7"/>
    <mergeCell ref="M7:N7"/>
    <mergeCell ref="M11:M12"/>
    <mergeCell ref="N11:O12"/>
    <mergeCell ref="P11:Q11"/>
  </mergeCells>
  <pageMargins left="0.35" right="0.25" top="0.31" bottom="0.74803149606299213" header="0.31496062992125984" footer="0.31496062992125984"/>
  <pageSetup paperSize="5" scale="85"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6"/>
  <sheetViews>
    <sheetView topLeftCell="A37" zoomScaleNormal="100" workbookViewId="0">
      <selection activeCell="T55" sqref="T55"/>
    </sheetView>
  </sheetViews>
  <sheetFormatPr defaultRowHeight="15" x14ac:dyDescent="0.25"/>
  <cols>
    <col min="1" max="1" width="4.7109375" style="56" customWidth="1"/>
    <col min="2" max="2" width="18.7109375" customWidth="1"/>
    <col min="3" max="3" width="4.7109375" customWidth="1"/>
    <col min="4" max="5" width="4.7109375" style="56" customWidth="1"/>
    <col min="6" max="6" width="2.28515625" customWidth="1"/>
    <col min="7" max="7" width="4.7109375" style="56" customWidth="1"/>
    <col min="8" max="8" width="18.7109375" customWidth="1"/>
    <col min="9" max="9" width="4.7109375" customWidth="1"/>
    <col min="10" max="11" width="4.7109375" style="56" customWidth="1"/>
    <col min="12" max="12" width="2.28515625" customWidth="1"/>
    <col min="13" max="13" width="4.7109375" style="56" customWidth="1"/>
    <col min="14" max="15" width="10.7109375" customWidth="1"/>
    <col min="16" max="17" width="4.7109375" style="56" customWidth="1"/>
    <col min="20" max="20" width="4.42578125" style="5" customWidth="1"/>
    <col min="21" max="21" width="12.28515625" style="31" customWidth="1"/>
    <col min="22" max="39" width="4.7109375" style="56" customWidth="1"/>
    <col min="40" max="51" width="4.7109375" style="5" customWidth="1"/>
    <col min="52" max="52" width="9.140625" style="5"/>
  </cols>
  <sheetData>
    <row r="1" spans="1:52" ht="25.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52" ht="21" customHeight="1" x14ac:dyDescent="0.25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52" ht="18" customHeight="1" x14ac:dyDescent="0.25">
      <c r="A3" s="77" t="s">
        <v>158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52" ht="15" customHeight="1" x14ac:dyDescent="0.25">
      <c r="A4" s="78" t="s">
        <v>159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52" ht="24.75" customHeight="1" x14ac:dyDescent="0.25"/>
    <row r="6" spans="1:52" ht="20.100000000000001" customHeight="1" x14ac:dyDescent="0.3">
      <c r="A6" s="79" t="s">
        <v>138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</row>
    <row r="7" spans="1:52" ht="15" customHeight="1" x14ac:dyDescent="0.25">
      <c r="A7" s="91" t="s">
        <v>154</v>
      </c>
      <c r="B7" s="91"/>
      <c r="C7" s="9" t="s">
        <v>185</v>
      </c>
      <c r="D7" s="51"/>
      <c r="E7" s="51"/>
      <c r="F7" s="56"/>
      <c r="J7" s="51"/>
      <c r="M7" s="92" t="s">
        <v>139</v>
      </c>
      <c r="N7" s="92"/>
      <c r="O7" s="10" t="s">
        <v>155</v>
      </c>
    </row>
    <row r="8" spans="1:52" ht="15" customHeight="1" x14ac:dyDescent="0.25">
      <c r="A8" s="91" t="s">
        <v>140</v>
      </c>
      <c r="B8" s="91"/>
      <c r="C8" s="9">
        <v>2101111</v>
      </c>
      <c r="D8" s="51"/>
      <c r="E8" s="51"/>
      <c r="F8" s="56"/>
      <c r="J8" s="51"/>
      <c r="M8" s="92" t="s">
        <v>141</v>
      </c>
      <c r="N8" s="92"/>
      <c r="O8" s="10" t="s">
        <v>176</v>
      </c>
    </row>
    <row r="9" spans="1:52" ht="15" customHeight="1" x14ac:dyDescent="0.25">
      <c r="A9" s="91" t="s">
        <v>173</v>
      </c>
      <c r="B9" s="91"/>
      <c r="C9" s="38" t="s">
        <v>160</v>
      </c>
      <c r="D9" s="51"/>
      <c r="E9" s="51"/>
      <c r="F9" s="56"/>
      <c r="I9" s="8"/>
      <c r="J9" s="51"/>
      <c r="K9" s="6"/>
      <c r="L9" s="8"/>
      <c r="M9" s="92" t="s">
        <v>142</v>
      </c>
      <c r="N9" s="92"/>
      <c r="O9" s="10" t="s">
        <v>156</v>
      </c>
      <c r="P9" s="6"/>
      <c r="Q9" s="6"/>
    </row>
    <row r="10" spans="1:52" ht="4.5" customHeight="1" thickBot="1" x14ac:dyDescent="0.3"/>
    <row r="11" spans="1:52" ht="16.5" thickTop="1" thickBot="1" x14ac:dyDescent="0.3">
      <c r="A11" s="81" t="s">
        <v>0</v>
      </c>
      <c r="B11" s="81" t="s">
        <v>1</v>
      </c>
      <c r="C11" s="81"/>
      <c r="D11" s="81" t="s">
        <v>2</v>
      </c>
      <c r="E11" s="81"/>
      <c r="F11" s="19"/>
      <c r="G11" s="81" t="s">
        <v>0</v>
      </c>
      <c r="H11" s="81" t="s">
        <v>1</v>
      </c>
      <c r="I11" s="81"/>
      <c r="J11" s="81" t="s">
        <v>2</v>
      </c>
      <c r="K11" s="81"/>
      <c r="L11" s="19"/>
      <c r="M11" s="81" t="s">
        <v>0</v>
      </c>
      <c r="N11" s="81" t="s">
        <v>1</v>
      </c>
      <c r="O11" s="81"/>
      <c r="P11" s="81" t="s">
        <v>2</v>
      </c>
      <c r="Q11" s="81"/>
      <c r="U11" s="89"/>
      <c r="V11" s="88" t="s">
        <v>153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 t="s">
        <v>146</v>
      </c>
    </row>
    <row r="12" spans="1:52" ht="12" customHeight="1" thickTop="1" thickBot="1" x14ac:dyDescent="0.3">
      <c r="A12" s="81"/>
      <c r="B12" s="81"/>
      <c r="C12" s="81"/>
      <c r="D12" s="53" t="s">
        <v>143</v>
      </c>
      <c r="E12" s="53" t="s">
        <v>144</v>
      </c>
      <c r="F12" s="19"/>
      <c r="G12" s="81"/>
      <c r="H12" s="81"/>
      <c r="I12" s="81"/>
      <c r="J12" s="53" t="s">
        <v>143</v>
      </c>
      <c r="K12" s="53" t="s">
        <v>144</v>
      </c>
      <c r="L12" s="19"/>
      <c r="M12" s="81"/>
      <c r="N12" s="81"/>
      <c r="O12" s="81"/>
      <c r="P12" s="53" t="s">
        <v>143</v>
      </c>
      <c r="Q12" s="53" t="s">
        <v>144</v>
      </c>
      <c r="U12" s="90"/>
      <c r="V12" s="52">
        <v>1</v>
      </c>
      <c r="W12" s="52">
        <v>2</v>
      </c>
      <c r="X12" s="52">
        <v>3</v>
      </c>
      <c r="Y12" s="52">
        <v>4</v>
      </c>
      <c r="Z12" s="52">
        <v>5</v>
      </c>
      <c r="AA12" s="52">
        <v>6</v>
      </c>
      <c r="AB12" s="52">
        <v>7</v>
      </c>
      <c r="AC12" s="52">
        <v>8</v>
      </c>
      <c r="AD12" s="52">
        <v>9</v>
      </c>
      <c r="AE12" s="52">
        <v>10</v>
      </c>
      <c r="AF12" s="52">
        <v>11</v>
      </c>
      <c r="AG12" s="52">
        <v>12</v>
      </c>
      <c r="AH12" s="52">
        <v>13</v>
      </c>
      <c r="AI12" s="52">
        <v>14</v>
      </c>
      <c r="AJ12" s="52">
        <v>15</v>
      </c>
      <c r="AK12" s="52">
        <v>16</v>
      </c>
      <c r="AL12" s="52">
        <v>17</v>
      </c>
      <c r="AM12" s="52">
        <v>18</v>
      </c>
      <c r="AN12" s="52">
        <v>19</v>
      </c>
      <c r="AO12" s="52">
        <v>20</v>
      </c>
      <c r="AP12" s="52">
        <v>21</v>
      </c>
      <c r="AQ12" s="52">
        <v>22</v>
      </c>
      <c r="AR12" s="52">
        <v>23</v>
      </c>
      <c r="AS12" s="52">
        <v>24</v>
      </c>
      <c r="AT12" s="52">
        <v>25</v>
      </c>
      <c r="AU12" s="52">
        <v>26</v>
      </c>
      <c r="AV12" s="52">
        <v>27</v>
      </c>
      <c r="AW12" s="52">
        <v>28</v>
      </c>
      <c r="AX12" s="52">
        <v>29</v>
      </c>
      <c r="AY12" s="52">
        <v>30</v>
      </c>
      <c r="AZ12" s="88"/>
    </row>
    <row r="13" spans="1:52" ht="3.75" customHeight="1" thickTop="1" thickBot="1" x14ac:dyDescent="0.3"/>
    <row r="14" spans="1:52" s="11" customFormat="1" ht="17.100000000000001" customHeight="1" thickBot="1" x14ac:dyDescent="0.3">
      <c r="A14" s="70">
        <v>1</v>
      </c>
      <c r="B14" s="73" t="s">
        <v>3</v>
      </c>
      <c r="C14" s="73"/>
      <c r="D14" s="72"/>
      <c r="E14" s="72"/>
      <c r="G14" s="70">
        <v>22</v>
      </c>
      <c r="H14" s="73" t="s">
        <v>52</v>
      </c>
      <c r="I14" s="73"/>
      <c r="J14" s="72"/>
      <c r="K14" s="72"/>
      <c r="M14" s="70">
        <v>30</v>
      </c>
      <c r="N14" s="73" t="s">
        <v>101</v>
      </c>
      <c r="O14" s="73"/>
      <c r="P14" s="70">
        <v>85</v>
      </c>
      <c r="Q14" s="70">
        <v>65</v>
      </c>
      <c r="T14" s="56"/>
      <c r="U14" s="34" t="s">
        <v>151</v>
      </c>
      <c r="V14" s="52">
        <f>D14</f>
        <v>0</v>
      </c>
      <c r="W14" s="52">
        <f>D16</f>
        <v>0</v>
      </c>
      <c r="X14" s="52">
        <f>D17</f>
        <v>0</v>
      </c>
      <c r="Y14" s="52">
        <f>D19</f>
        <v>0</v>
      </c>
      <c r="Z14" s="52">
        <f>D21</f>
        <v>0</v>
      </c>
      <c r="AA14" s="52">
        <f>D22</f>
        <v>0</v>
      </c>
      <c r="AB14" s="52">
        <f>D24</f>
        <v>0</v>
      </c>
      <c r="AC14" s="52">
        <f>D26</f>
        <v>0</v>
      </c>
      <c r="AD14" s="52">
        <f>D28</f>
        <v>0</v>
      </c>
      <c r="AE14" s="52">
        <f>D30</f>
        <v>0</v>
      </c>
      <c r="AF14" s="52">
        <f>D32</f>
        <v>0</v>
      </c>
      <c r="AG14" s="52">
        <f>D35</f>
        <v>0</v>
      </c>
      <c r="AH14" s="52">
        <f>D37</f>
        <v>0</v>
      </c>
      <c r="AI14" s="52">
        <f>D40</f>
        <v>0</v>
      </c>
      <c r="AJ14" s="52">
        <f>D42</f>
        <v>0</v>
      </c>
      <c r="AK14" s="52">
        <f>D44</f>
        <v>0</v>
      </c>
      <c r="AL14" s="52">
        <f>D47</f>
        <v>0</v>
      </c>
      <c r="AM14" s="52">
        <f>D49</f>
        <v>0</v>
      </c>
      <c r="AN14" s="52">
        <f>D52</f>
        <v>0</v>
      </c>
      <c r="AO14" s="52">
        <f>D55</f>
        <v>0</v>
      </c>
      <c r="AP14" s="52">
        <f>D58</f>
        <v>0</v>
      </c>
      <c r="AQ14" s="52">
        <f>J14</f>
        <v>0</v>
      </c>
      <c r="AR14" s="52">
        <f>J18</f>
        <v>0</v>
      </c>
      <c r="AS14" s="52">
        <f>J22</f>
        <v>0</v>
      </c>
      <c r="AT14" s="52">
        <f>J25</f>
        <v>0</v>
      </c>
      <c r="AU14" s="52">
        <f>J30</f>
        <v>0</v>
      </c>
      <c r="AV14" s="52">
        <f>J36</f>
        <v>0</v>
      </c>
      <c r="AW14" s="52">
        <f>J43</f>
        <v>0</v>
      </c>
      <c r="AX14" s="52">
        <f>J52</f>
        <v>75</v>
      </c>
      <c r="AY14" s="52">
        <f>P14</f>
        <v>85</v>
      </c>
      <c r="AZ14" s="35">
        <f>AVERAGEIF(V14:AY14,"&gt;0")</f>
        <v>80</v>
      </c>
    </row>
    <row r="15" spans="1:52" s="11" customFormat="1" ht="17.100000000000001" customHeight="1" thickBot="1" x14ac:dyDescent="0.3">
      <c r="A15" s="70"/>
      <c r="B15" s="73" t="s">
        <v>4</v>
      </c>
      <c r="C15" s="73"/>
      <c r="D15" s="72"/>
      <c r="E15" s="72"/>
      <c r="G15" s="70"/>
      <c r="H15" s="73" t="s">
        <v>53</v>
      </c>
      <c r="I15" s="73"/>
      <c r="J15" s="72"/>
      <c r="K15" s="72"/>
      <c r="M15" s="70"/>
      <c r="N15" s="73" t="s">
        <v>102</v>
      </c>
      <c r="O15" s="73"/>
      <c r="P15" s="70"/>
      <c r="Q15" s="70"/>
      <c r="T15" s="56"/>
      <c r="U15" s="34" t="s">
        <v>152</v>
      </c>
      <c r="V15" s="52">
        <f>E14</f>
        <v>0</v>
      </c>
      <c r="W15" s="52">
        <f>E16</f>
        <v>0</v>
      </c>
      <c r="X15" s="52">
        <f>E17</f>
        <v>0</v>
      </c>
      <c r="Y15" s="52">
        <f>E19</f>
        <v>0</v>
      </c>
      <c r="Z15" s="52">
        <f>E21</f>
        <v>0</v>
      </c>
      <c r="AA15" s="52">
        <f>E22</f>
        <v>0</v>
      </c>
      <c r="AB15" s="52">
        <f>E24</f>
        <v>0</v>
      </c>
      <c r="AC15" s="52">
        <f>E26</f>
        <v>0</v>
      </c>
      <c r="AD15" s="52">
        <f>E28</f>
        <v>0</v>
      </c>
      <c r="AE15" s="52">
        <f>E30</f>
        <v>0</v>
      </c>
      <c r="AF15" s="52">
        <f>E32</f>
        <v>0</v>
      </c>
      <c r="AG15" s="52">
        <f>E35</f>
        <v>0</v>
      </c>
      <c r="AH15" s="52">
        <f>E37</f>
        <v>0</v>
      </c>
      <c r="AI15" s="52">
        <f>E40</f>
        <v>0</v>
      </c>
      <c r="AJ15" s="52">
        <f>E42</f>
        <v>0</v>
      </c>
      <c r="AK15" s="52">
        <f>E44</f>
        <v>0</v>
      </c>
      <c r="AL15" s="52">
        <f>E47</f>
        <v>0</v>
      </c>
      <c r="AM15" s="52">
        <f>E49</f>
        <v>0</v>
      </c>
      <c r="AN15" s="52">
        <f>E52</f>
        <v>0</v>
      </c>
      <c r="AO15" s="52">
        <f>E55</f>
        <v>0</v>
      </c>
      <c r="AP15" s="52">
        <f>E58</f>
        <v>0</v>
      </c>
      <c r="AQ15" s="52">
        <f>K14</f>
        <v>0</v>
      </c>
      <c r="AR15" s="52">
        <f>K18</f>
        <v>0</v>
      </c>
      <c r="AS15" s="52">
        <f>K22</f>
        <v>0</v>
      </c>
      <c r="AT15" s="52">
        <f>K25</f>
        <v>0</v>
      </c>
      <c r="AU15" s="52">
        <f>K30</f>
        <v>0</v>
      </c>
      <c r="AV15" s="52">
        <f>K36</f>
        <v>0</v>
      </c>
      <c r="AW15" s="52">
        <f>K43</f>
        <v>0</v>
      </c>
      <c r="AX15" s="52">
        <f>K52</f>
        <v>65</v>
      </c>
      <c r="AY15" s="52">
        <f>Q14</f>
        <v>65</v>
      </c>
      <c r="AZ15" s="35">
        <f>AVERAGEIF(V15:AY15,"&lt;&gt;0")</f>
        <v>65</v>
      </c>
    </row>
    <row r="16" spans="1:52" s="11" customFormat="1" ht="17.100000000000001" customHeight="1" thickBot="1" x14ac:dyDescent="0.3">
      <c r="A16" s="55">
        <v>2</v>
      </c>
      <c r="B16" s="73" t="s">
        <v>6</v>
      </c>
      <c r="C16" s="73"/>
      <c r="D16" s="54"/>
      <c r="E16" s="54"/>
      <c r="G16" s="70"/>
      <c r="H16" s="73" t="s">
        <v>54</v>
      </c>
      <c r="I16" s="73"/>
      <c r="J16" s="72"/>
      <c r="K16" s="72"/>
      <c r="M16" s="70"/>
      <c r="N16" s="73" t="s">
        <v>103</v>
      </c>
      <c r="O16" s="73"/>
      <c r="P16" s="70"/>
      <c r="Q16" s="70"/>
      <c r="T16" s="56"/>
      <c r="U16" s="32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s="11" customFormat="1" ht="17.100000000000001" customHeight="1" thickBot="1" x14ac:dyDescent="0.3">
      <c r="A17" s="70">
        <v>3</v>
      </c>
      <c r="B17" s="73" t="s">
        <v>5</v>
      </c>
      <c r="C17" s="73"/>
      <c r="D17" s="72"/>
      <c r="E17" s="72"/>
      <c r="G17" s="70"/>
      <c r="H17" s="73" t="s">
        <v>55</v>
      </c>
      <c r="I17" s="73"/>
      <c r="J17" s="72"/>
      <c r="K17" s="72"/>
      <c r="M17" s="70"/>
      <c r="N17" s="73" t="s">
        <v>104</v>
      </c>
      <c r="O17" s="73"/>
      <c r="P17" s="70"/>
      <c r="Q17" s="70"/>
      <c r="T17" s="56"/>
      <c r="U17" s="32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</row>
    <row r="18" spans="1:52" s="11" customFormat="1" ht="17.100000000000001" customHeight="1" thickBot="1" x14ac:dyDescent="0.3">
      <c r="A18" s="70"/>
      <c r="B18" s="73" t="s">
        <v>7</v>
      </c>
      <c r="C18" s="73"/>
      <c r="D18" s="72"/>
      <c r="E18" s="72"/>
      <c r="G18" s="70">
        <v>23</v>
      </c>
      <c r="H18" s="73" t="s">
        <v>56</v>
      </c>
      <c r="I18" s="73"/>
      <c r="J18" s="70"/>
      <c r="K18" s="70"/>
      <c r="M18" s="70"/>
      <c r="N18" s="73" t="s">
        <v>105</v>
      </c>
      <c r="O18" s="73"/>
      <c r="P18" s="70"/>
      <c r="Q18" s="70"/>
      <c r="T18" s="56"/>
      <c r="U18" s="32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</row>
    <row r="19" spans="1:52" s="11" customFormat="1" ht="17.100000000000001" customHeight="1" thickBot="1" x14ac:dyDescent="0.3">
      <c r="A19" s="70">
        <v>4</v>
      </c>
      <c r="B19" s="73" t="s">
        <v>8</v>
      </c>
      <c r="C19" s="73"/>
      <c r="D19" s="72"/>
      <c r="E19" s="70"/>
      <c r="G19" s="70"/>
      <c r="H19" s="73" t="s">
        <v>57</v>
      </c>
      <c r="I19" s="73"/>
      <c r="J19" s="70"/>
      <c r="K19" s="70"/>
      <c r="M19" s="70"/>
      <c r="N19" s="73" t="s">
        <v>106</v>
      </c>
      <c r="O19" s="73"/>
      <c r="P19" s="70"/>
      <c r="Q19" s="70"/>
      <c r="T19" s="56"/>
      <c r="U19" s="32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</row>
    <row r="20" spans="1:52" s="11" customFormat="1" ht="17.100000000000001" customHeight="1" thickBot="1" x14ac:dyDescent="0.3">
      <c r="A20" s="70"/>
      <c r="B20" s="73" t="s">
        <v>9</v>
      </c>
      <c r="C20" s="73"/>
      <c r="D20" s="72"/>
      <c r="E20" s="70"/>
      <c r="G20" s="70"/>
      <c r="H20" s="73" t="s">
        <v>58</v>
      </c>
      <c r="I20" s="73"/>
      <c r="J20" s="70"/>
      <c r="K20" s="70"/>
      <c r="M20" s="70"/>
      <c r="N20" s="73" t="s">
        <v>107</v>
      </c>
      <c r="O20" s="73"/>
      <c r="P20" s="70"/>
      <c r="Q20" s="70"/>
      <c r="T20" s="56"/>
      <c r="U20" s="32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</row>
    <row r="21" spans="1:52" s="11" customFormat="1" ht="17.100000000000001" customHeight="1" thickBot="1" x14ac:dyDescent="0.3">
      <c r="A21" s="55">
        <v>5</v>
      </c>
      <c r="B21" s="73" t="s">
        <v>10</v>
      </c>
      <c r="C21" s="73"/>
      <c r="D21" s="54"/>
      <c r="E21" s="54"/>
      <c r="G21" s="70"/>
      <c r="H21" s="73" t="s">
        <v>59</v>
      </c>
      <c r="I21" s="73"/>
      <c r="J21" s="70"/>
      <c r="K21" s="70"/>
      <c r="M21" s="70"/>
      <c r="N21" s="73" t="s">
        <v>108</v>
      </c>
      <c r="O21" s="73"/>
      <c r="P21" s="70"/>
      <c r="Q21" s="70"/>
      <c r="T21" s="56"/>
      <c r="U21" s="32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</row>
    <row r="22" spans="1:52" s="11" customFormat="1" ht="17.100000000000001" customHeight="1" thickBot="1" x14ac:dyDescent="0.3">
      <c r="A22" s="70">
        <v>6</v>
      </c>
      <c r="B22" s="73" t="s">
        <v>11</v>
      </c>
      <c r="C22" s="73"/>
      <c r="D22" s="72"/>
      <c r="E22" s="70"/>
      <c r="G22" s="70">
        <v>24</v>
      </c>
      <c r="H22" s="73" t="s">
        <v>60</v>
      </c>
      <c r="I22" s="73"/>
      <c r="J22" s="70"/>
      <c r="K22" s="70"/>
      <c r="M22" s="70"/>
      <c r="N22" s="73" t="s">
        <v>109</v>
      </c>
      <c r="O22" s="73"/>
      <c r="P22" s="70"/>
      <c r="Q22" s="70"/>
      <c r="T22" s="56"/>
      <c r="U22" s="32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</row>
    <row r="23" spans="1:52" s="11" customFormat="1" ht="17.100000000000001" customHeight="1" thickBot="1" x14ac:dyDescent="0.3">
      <c r="A23" s="70"/>
      <c r="B23" s="73" t="s">
        <v>12</v>
      </c>
      <c r="C23" s="73"/>
      <c r="D23" s="72"/>
      <c r="E23" s="70"/>
      <c r="G23" s="70"/>
      <c r="H23" s="73" t="s">
        <v>61</v>
      </c>
      <c r="I23" s="73"/>
      <c r="J23" s="70"/>
      <c r="K23" s="70"/>
      <c r="M23" s="70"/>
      <c r="N23" s="73" t="s">
        <v>110</v>
      </c>
      <c r="O23" s="73"/>
      <c r="P23" s="70"/>
      <c r="Q23" s="70"/>
      <c r="T23" s="56"/>
      <c r="U23" s="32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</row>
    <row r="24" spans="1:52" s="11" customFormat="1" ht="17.100000000000001" customHeight="1" thickBot="1" x14ac:dyDescent="0.3">
      <c r="A24" s="70">
        <v>7</v>
      </c>
      <c r="B24" s="73" t="s">
        <v>13</v>
      </c>
      <c r="C24" s="73"/>
      <c r="D24" s="70"/>
      <c r="E24" s="70"/>
      <c r="G24" s="70"/>
      <c r="H24" s="73" t="s">
        <v>62</v>
      </c>
      <c r="I24" s="73"/>
      <c r="J24" s="70"/>
      <c r="K24" s="70"/>
      <c r="M24" s="70"/>
      <c r="N24" s="73" t="s">
        <v>111</v>
      </c>
      <c r="O24" s="73"/>
      <c r="P24" s="70"/>
      <c r="Q24" s="70"/>
      <c r="T24" s="56"/>
      <c r="U24" s="32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</row>
    <row r="25" spans="1:52" s="11" customFormat="1" ht="17.100000000000001" customHeight="1" thickBot="1" x14ac:dyDescent="0.3">
      <c r="A25" s="70"/>
      <c r="B25" s="73" t="s">
        <v>14</v>
      </c>
      <c r="C25" s="73"/>
      <c r="D25" s="70"/>
      <c r="E25" s="70"/>
      <c r="G25" s="70">
        <v>25</v>
      </c>
      <c r="H25" s="73" t="s">
        <v>63</v>
      </c>
      <c r="I25" s="73"/>
      <c r="J25" s="70"/>
      <c r="K25" s="70"/>
      <c r="M25" s="70"/>
      <c r="N25" s="73" t="s">
        <v>112</v>
      </c>
      <c r="O25" s="73"/>
      <c r="P25" s="70"/>
      <c r="Q25" s="70"/>
      <c r="T25" s="56"/>
      <c r="U25" s="32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</row>
    <row r="26" spans="1:52" s="11" customFormat="1" ht="17.100000000000001" customHeight="1" thickBot="1" x14ac:dyDescent="0.3">
      <c r="A26" s="70">
        <v>8</v>
      </c>
      <c r="B26" s="73" t="s">
        <v>15</v>
      </c>
      <c r="C26" s="73"/>
      <c r="D26" s="70"/>
      <c r="E26" s="70"/>
      <c r="G26" s="70"/>
      <c r="H26" s="73" t="s">
        <v>64</v>
      </c>
      <c r="I26" s="73"/>
      <c r="J26" s="70"/>
      <c r="K26" s="70"/>
      <c r="M26" s="70"/>
      <c r="N26" s="73" t="s">
        <v>113</v>
      </c>
      <c r="O26" s="73"/>
      <c r="P26" s="70"/>
      <c r="Q26" s="70"/>
      <c r="T26" s="56"/>
      <c r="U26" s="32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</row>
    <row r="27" spans="1:52" s="11" customFormat="1" ht="17.100000000000001" customHeight="1" thickBot="1" x14ac:dyDescent="0.3">
      <c r="A27" s="70"/>
      <c r="B27" s="73" t="s">
        <v>16</v>
      </c>
      <c r="C27" s="73"/>
      <c r="D27" s="70"/>
      <c r="E27" s="70"/>
      <c r="G27" s="70"/>
      <c r="H27" s="73" t="s">
        <v>65</v>
      </c>
      <c r="I27" s="73"/>
      <c r="J27" s="70"/>
      <c r="K27" s="70"/>
      <c r="M27" s="70"/>
      <c r="N27" s="73" t="s">
        <v>114</v>
      </c>
      <c r="O27" s="73"/>
      <c r="P27" s="70"/>
      <c r="Q27" s="70"/>
      <c r="T27" s="56"/>
      <c r="U27" s="32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</row>
    <row r="28" spans="1:52" s="11" customFormat="1" ht="17.100000000000001" customHeight="1" thickBot="1" x14ac:dyDescent="0.3">
      <c r="A28" s="70">
        <v>9</v>
      </c>
      <c r="B28" s="73" t="s">
        <v>17</v>
      </c>
      <c r="C28" s="73"/>
      <c r="D28" s="70"/>
      <c r="E28" s="70"/>
      <c r="G28" s="70"/>
      <c r="H28" s="73" t="s">
        <v>66</v>
      </c>
      <c r="I28" s="73"/>
      <c r="J28" s="70"/>
      <c r="K28" s="70"/>
      <c r="M28" s="70"/>
      <c r="N28" s="73" t="s">
        <v>115</v>
      </c>
      <c r="O28" s="73"/>
      <c r="P28" s="70"/>
      <c r="Q28" s="70"/>
      <c r="T28" s="56"/>
      <c r="U28" s="32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</row>
    <row r="29" spans="1:52" s="11" customFormat="1" ht="17.100000000000001" customHeight="1" thickBot="1" x14ac:dyDescent="0.3">
      <c r="A29" s="70"/>
      <c r="B29" s="73" t="s">
        <v>18</v>
      </c>
      <c r="C29" s="73"/>
      <c r="D29" s="70"/>
      <c r="E29" s="70"/>
      <c r="G29" s="70"/>
      <c r="H29" s="73" t="s">
        <v>67</v>
      </c>
      <c r="I29" s="73"/>
      <c r="J29" s="70"/>
      <c r="K29" s="70"/>
      <c r="M29" s="70"/>
      <c r="N29" s="73" t="s">
        <v>116</v>
      </c>
      <c r="O29" s="73"/>
      <c r="P29" s="70"/>
      <c r="Q29" s="70"/>
      <c r="T29" s="56"/>
      <c r="U29" s="32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</row>
    <row r="30" spans="1:52" s="11" customFormat="1" ht="17.100000000000001" customHeight="1" thickBot="1" x14ac:dyDescent="0.3">
      <c r="A30" s="70">
        <v>10</v>
      </c>
      <c r="B30" s="73" t="s">
        <v>19</v>
      </c>
      <c r="C30" s="73"/>
      <c r="D30" s="70"/>
      <c r="E30" s="70"/>
      <c r="G30" s="70">
        <v>26</v>
      </c>
      <c r="H30" s="73" t="s">
        <v>68</v>
      </c>
      <c r="I30" s="73"/>
      <c r="J30" s="70"/>
      <c r="K30" s="70"/>
      <c r="M30" s="70"/>
      <c r="N30" s="73" t="s">
        <v>117</v>
      </c>
      <c r="O30" s="73"/>
      <c r="P30" s="70"/>
      <c r="Q30" s="70"/>
      <c r="T30" s="56"/>
      <c r="U30" s="32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52" s="11" customFormat="1" ht="17.100000000000001" customHeight="1" thickBot="1" x14ac:dyDescent="0.3">
      <c r="A31" s="70"/>
      <c r="B31" s="73" t="s">
        <v>20</v>
      </c>
      <c r="C31" s="73"/>
      <c r="D31" s="70"/>
      <c r="E31" s="70"/>
      <c r="G31" s="70"/>
      <c r="H31" s="73" t="s">
        <v>69</v>
      </c>
      <c r="I31" s="73"/>
      <c r="J31" s="70"/>
      <c r="K31" s="70"/>
      <c r="M31" s="70"/>
      <c r="N31" s="73" t="s">
        <v>118</v>
      </c>
      <c r="O31" s="73"/>
      <c r="P31" s="70"/>
      <c r="Q31" s="70"/>
      <c r="T31" s="56"/>
      <c r="U31" s="32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52" s="11" customFormat="1" ht="17.100000000000001" customHeight="1" thickBot="1" x14ac:dyDescent="0.3">
      <c r="A32" s="70">
        <v>11</v>
      </c>
      <c r="B32" s="73" t="s">
        <v>21</v>
      </c>
      <c r="C32" s="73"/>
      <c r="D32" s="72"/>
      <c r="E32" s="72"/>
      <c r="G32" s="70"/>
      <c r="H32" s="73" t="s">
        <v>70</v>
      </c>
      <c r="I32" s="73"/>
      <c r="J32" s="70"/>
      <c r="K32" s="70"/>
      <c r="M32" s="70"/>
      <c r="N32" s="73" t="s">
        <v>119</v>
      </c>
      <c r="O32" s="73"/>
      <c r="P32" s="70"/>
      <c r="Q32" s="70"/>
      <c r="T32" s="56"/>
      <c r="U32" s="32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 spans="1:52" s="11" customFormat="1" ht="17.100000000000001" customHeight="1" thickBot="1" x14ac:dyDescent="0.3">
      <c r="A33" s="70"/>
      <c r="B33" s="73" t="s">
        <v>22</v>
      </c>
      <c r="C33" s="73"/>
      <c r="D33" s="72"/>
      <c r="E33" s="72"/>
      <c r="G33" s="70"/>
      <c r="H33" s="73" t="s">
        <v>71</v>
      </c>
      <c r="I33" s="73"/>
      <c r="J33" s="70"/>
      <c r="K33" s="70"/>
      <c r="M33" s="70"/>
      <c r="N33" s="73" t="s">
        <v>120</v>
      </c>
      <c r="O33" s="73"/>
      <c r="P33" s="70"/>
      <c r="Q33" s="70"/>
      <c r="T33" s="56"/>
      <c r="U33" s="32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 spans="1:52" s="11" customFormat="1" ht="17.100000000000001" customHeight="1" thickBot="1" x14ac:dyDescent="0.3">
      <c r="A34" s="70"/>
      <c r="B34" s="73" t="s">
        <v>23</v>
      </c>
      <c r="C34" s="73"/>
      <c r="D34" s="72"/>
      <c r="E34" s="72"/>
      <c r="G34" s="70"/>
      <c r="H34" s="73" t="s">
        <v>72</v>
      </c>
      <c r="I34" s="73"/>
      <c r="J34" s="70"/>
      <c r="K34" s="70"/>
      <c r="M34" s="70"/>
      <c r="N34" s="73" t="s">
        <v>121</v>
      </c>
      <c r="O34" s="73"/>
      <c r="P34" s="70"/>
      <c r="Q34" s="70"/>
      <c r="T34" s="56"/>
      <c r="U34" s="32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</row>
    <row r="35" spans="1:52" s="11" customFormat="1" ht="17.100000000000001" customHeight="1" thickBot="1" x14ac:dyDescent="0.3">
      <c r="A35" s="70">
        <v>12</v>
      </c>
      <c r="B35" s="73" t="s">
        <v>24</v>
      </c>
      <c r="C35" s="73"/>
      <c r="D35" s="70"/>
      <c r="E35" s="70"/>
      <c r="G35" s="70"/>
      <c r="H35" s="73" t="s">
        <v>73</v>
      </c>
      <c r="I35" s="73"/>
      <c r="J35" s="70"/>
      <c r="K35" s="70"/>
      <c r="M35" s="70"/>
      <c r="N35" s="73" t="s">
        <v>122</v>
      </c>
      <c r="O35" s="73"/>
      <c r="P35" s="70"/>
      <c r="Q35" s="70"/>
      <c r="T35" s="56"/>
      <c r="U35" s="32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</row>
    <row r="36" spans="1:52" s="11" customFormat="1" ht="17.100000000000001" customHeight="1" thickBot="1" x14ac:dyDescent="0.3">
      <c r="A36" s="70"/>
      <c r="B36" s="73" t="s">
        <v>25</v>
      </c>
      <c r="C36" s="73"/>
      <c r="D36" s="70"/>
      <c r="E36" s="70"/>
      <c r="G36" s="70">
        <v>27</v>
      </c>
      <c r="H36" s="73" t="s">
        <v>74</v>
      </c>
      <c r="I36" s="73"/>
      <c r="J36" s="70"/>
      <c r="K36" s="70"/>
      <c r="M36" s="70"/>
      <c r="N36" s="73" t="s">
        <v>123</v>
      </c>
      <c r="O36" s="73"/>
      <c r="P36" s="70"/>
      <c r="Q36" s="70"/>
      <c r="T36" s="56"/>
      <c r="U36" s="32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</row>
    <row r="37" spans="1:52" s="11" customFormat="1" ht="17.100000000000001" customHeight="1" thickBot="1" x14ac:dyDescent="0.3">
      <c r="A37" s="70">
        <v>13</v>
      </c>
      <c r="B37" s="73" t="s">
        <v>26</v>
      </c>
      <c r="C37" s="73"/>
      <c r="D37" s="72"/>
      <c r="E37" s="72"/>
      <c r="G37" s="70"/>
      <c r="H37" s="73" t="s">
        <v>75</v>
      </c>
      <c r="I37" s="73"/>
      <c r="J37" s="70"/>
      <c r="K37" s="70"/>
      <c r="M37" s="70"/>
      <c r="N37" s="73" t="s">
        <v>124</v>
      </c>
      <c r="O37" s="73"/>
      <c r="P37" s="70"/>
      <c r="Q37" s="70"/>
      <c r="T37" s="56"/>
      <c r="U37" s="32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</row>
    <row r="38" spans="1:52" s="11" customFormat="1" ht="17.100000000000001" customHeight="1" thickBot="1" x14ac:dyDescent="0.3">
      <c r="A38" s="70"/>
      <c r="B38" s="73" t="s">
        <v>27</v>
      </c>
      <c r="C38" s="73"/>
      <c r="D38" s="72"/>
      <c r="E38" s="72"/>
      <c r="G38" s="70"/>
      <c r="H38" s="73" t="s">
        <v>76</v>
      </c>
      <c r="I38" s="73"/>
      <c r="J38" s="70"/>
      <c r="K38" s="70"/>
      <c r="M38" s="70"/>
      <c r="N38" s="73" t="s">
        <v>125</v>
      </c>
      <c r="O38" s="73"/>
      <c r="P38" s="70"/>
      <c r="Q38" s="70"/>
      <c r="T38" s="56"/>
      <c r="U38" s="32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</row>
    <row r="39" spans="1:52" s="11" customFormat="1" ht="17.100000000000001" customHeight="1" thickBot="1" x14ac:dyDescent="0.3">
      <c r="A39" s="70"/>
      <c r="B39" s="73" t="s">
        <v>28</v>
      </c>
      <c r="C39" s="73"/>
      <c r="D39" s="72"/>
      <c r="E39" s="72"/>
      <c r="G39" s="70"/>
      <c r="H39" s="73" t="s">
        <v>77</v>
      </c>
      <c r="I39" s="73"/>
      <c r="J39" s="70"/>
      <c r="K39" s="70"/>
      <c r="M39" s="70"/>
      <c r="N39" s="73" t="s">
        <v>126</v>
      </c>
      <c r="O39" s="73"/>
      <c r="P39" s="70"/>
      <c r="Q39" s="70"/>
      <c r="T39" s="56"/>
      <c r="U39" s="32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 spans="1:52" s="11" customFormat="1" ht="17.100000000000001" customHeight="1" thickBot="1" x14ac:dyDescent="0.3">
      <c r="A40" s="70">
        <v>14</v>
      </c>
      <c r="B40" s="73" t="s">
        <v>29</v>
      </c>
      <c r="C40" s="73"/>
      <c r="D40" s="70"/>
      <c r="E40" s="70"/>
      <c r="G40" s="70"/>
      <c r="H40" s="73" t="s">
        <v>78</v>
      </c>
      <c r="I40" s="73"/>
      <c r="J40" s="70"/>
      <c r="K40" s="70"/>
      <c r="M40" s="70"/>
      <c r="N40" s="73" t="s">
        <v>127</v>
      </c>
      <c r="O40" s="73"/>
      <c r="P40" s="70"/>
      <c r="Q40" s="70"/>
      <c r="T40" s="56"/>
      <c r="U40" s="32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</row>
    <row r="41" spans="1:52" s="11" customFormat="1" ht="17.100000000000001" customHeight="1" thickBot="1" x14ac:dyDescent="0.3">
      <c r="A41" s="70"/>
      <c r="B41" s="73" t="s">
        <v>30</v>
      </c>
      <c r="C41" s="73"/>
      <c r="D41" s="70"/>
      <c r="E41" s="70"/>
      <c r="G41" s="70"/>
      <c r="H41" s="73" t="s">
        <v>79</v>
      </c>
      <c r="I41" s="73"/>
      <c r="J41" s="70"/>
      <c r="K41" s="70"/>
      <c r="M41" s="70"/>
      <c r="N41" s="73" t="s">
        <v>128</v>
      </c>
      <c r="O41" s="73"/>
      <c r="P41" s="70"/>
      <c r="Q41" s="70"/>
      <c r="T41" s="56"/>
      <c r="U41" s="32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  <row r="42" spans="1:52" s="11" customFormat="1" ht="17.100000000000001" customHeight="1" thickBot="1" x14ac:dyDescent="0.3">
      <c r="A42" s="70">
        <v>15</v>
      </c>
      <c r="B42" s="73" t="s">
        <v>31</v>
      </c>
      <c r="C42" s="73"/>
      <c r="D42" s="70"/>
      <c r="E42" s="70"/>
      <c r="G42" s="70"/>
      <c r="H42" s="73" t="s">
        <v>80</v>
      </c>
      <c r="I42" s="73"/>
      <c r="J42" s="70"/>
      <c r="K42" s="70"/>
      <c r="M42" s="70"/>
      <c r="N42" s="73" t="s">
        <v>129</v>
      </c>
      <c r="O42" s="73"/>
      <c r="P42" s="70"/>
      <c r="Q42" s="70"/>
      <c r="T42" s="56"/>
      <c r="U42" s="32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</row>
    <row r="43" spans="1:52" s="11" customFormat="1" ht="17.100000000000001" customHeight="1" thickBot="1" x14ac:dyDescent="0.3">
      <c r="A43" s="70"/>
      <c r="B43" s="73" t="s">
        <v>32</v>
      </c>
      <c r="C43" s="73"/>
      <c r="D43" s="70"/>
      <c r="E43" s="70"/>
      <c r="G43" s="70">
        <v>28</v>
      </c>
      <c r="H43" s="73" t="s">
        <v>81</v>
      </c>
      <c r="I43" s="73"/>
      <c r="J43" s="70"/>
      <c r="K43" s="70"/>
      <c r="M43" s="70"/>
      <c r="N43" s="73" t="s">
        <v>130</v>
      </c>
      <c r="O43" s="73"/>
      <c r="P43" s="70"/>
      <c r="Q43" s="70"/>
      <c r="T43" s="56"/>
      <c r="U43" s="32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</row>
    <row r="44" spans="1:52" s="11" customFormat="1" ht="17.100000000000001" customHeight="1" thickBot="1" x14ac:dyDescent="0.3">
      <c r="A44" s="70">
        <v>16</v>
      </c>
      <c r="B44" s="73" t="s">
        <v>33</v>
      </c>
      <c r="C44" s="73"/>
      <c r="D44" s="72"/>
      <c r="E44" s="72"/>
      <c r="G44" s="70"/>
      <c r="H44" s="73" t="s">
        <v>82</v>
      </c>
      <c r="I44" s="73"/>
      <c r="J44" s="70"/>
      <c r="K44" s="70"/>
      <c r="M44" s="70"/>
      <c r="N44" s="73" t="s">
        <v>131</v>
      </c>
      <c r="O44" s="73"/>
      <c r="P44" s="70"/>
      <c r="Q44" s="70"/>
      <c r="T44" s="56"/>
      <c r="U44" s="32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</row>
    <row r="45" spans="1:52" s="11" customFormat="1" ht="17.100000000000001" customHeight="1" thickBot="1" x14ac:dyDescent="0.3">
      <c r="A45" s="70"/>
      <c r="B45" s="73" t="s">
        <v>34</v>
      </c>
      <c r="C45" s="73"/>
      <c r="D45" s="72"/>
      <c r="E45" s="72"/>
      <c r="G45" s="70"/>
      <c r="H45" s="73" t="s">
        <v>83</v>
      </c>
      <c r="I45" s="73"/>
      <c r="J45" s="70"/>
      <c r="K45" s="70"/>
      <c r="M45" s="70"/>
      <c r="N45" s="73" t="s">
        <v>132</v>
      </c>
      <c r="O45" s="73"/>
      <c r="P45" s="70"/>
      <c r="Q45" s="70"/>
      <c r="T45" s="56"/>
      <c r="U45" s="32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</row>
    <row r="46" spans="1:52" s="11" customFormat="1" ht="17.100000000000001" customHeight="1" thickBot="1" x14ac:dyDescent="0.3">
      <c r="A46" s="70"/>
      <c r="B46" s="73" t="s">
        <v>35</v>
      </c>
      <c r="C46" s="73"/>
      <c r="D46" s="72"/>
      <c r="E46" s="72"/>
      <c r="G46" s="70"/>
      <c r="H46" s="73" t="s">
        <v>84</v>
      </c>
      <c r="I46" s="73"/>
      <c r="J46" s="70"/>
      <c r="K46" s="70"/>
      <c r="M46" s="70"/>
      <c r="N46" s="73" t="s">
        <v>133</v>
      </c>
      <c r="O46" s="73"/>
      <c r="P46" s="70"/>
      <c r="Q46" s="70"/>
      <c r="T46" s="56"/>
      <c r="U46" s="32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</row>
    <row r="47" spans="1:52" s="11" customFormat="1" ht="17.100000000000001" customHeight="1" thickBot="1" x14ac:dyDescent="0.3">
      <c r="A47" s="70">
        <v>17</v>
      </c>
      <c r="B47" s="73" t="s">
        <v>36</v>
      </c>
      <c r="C47" s="73"/>
      <c r="D47" s="70"/>
      <c r="E47" s="70"/>
      <c r="G47" s="70"/>
      <c r="H47" s="73" t="s">
        <v>85</v>
      </c>
      <c r="I47" s="73"/>
      <c r="J47" s="70"/>
      <c r="K47" s="70"/>
      <c r="M47" s="70"/>
      <c r="N47" s="73" t="s">
        <v>134</v>
      </c>
      <c r="O47" s="73"/>
      <c r="P47" s="70"/>
      <c r="Q47" s="70"/>
      <c r="T47" s="56"/>
      <c r="U47" s="32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</row>
    <row r="48" spans="1:52" s="11" customFormat="1" ht="17.100000000000001" customHeight="1" thickBot="1" x14ac:dyDescent="0.3">
      <c r="A48" s="70"/>
      <c r="B48" s="73" t="s">
        <v>37</v>
      </c>
      <c r="C48" s="73"/>
      <c r="D48" s="70"/>
      <c r="E48" s="70"/>
      <c r="G48" s="70"/>
      <c r="H48" s="73" t="s">
        <v>86</v>
      </c>
      <c r="I48" s="73"/>
      <c r="J48" s="70"/>
      <c r="K48" s="70"/>
      <c r="M48" s="70"/>
      <c r="N48" s="73" t="s">
        <v>135</v>
      </c>
      <c r="O48" s="73"/>
      <c r="P48" s="70"/>
      <c r="Q48" s="70"/>
      <c r="T48" s="56"/>
      <c r="U48" s="32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</row>
    <row r="49" spans="1:52" s="11" customFormat="1" ht="17.100000000000001" customHeight="1" thickBot="1" x14ac:dyDescent="0.3">
      <c r="A49" s="70">
        <v>18</v>
      </c>
      <c r="B49" s="73" t="s">
        <v>38</v>
      </c>
      <c r="C49" s="73"/>
      <c r="D49" s="72"/>
      <c r="E49" s="72"/>
      <c r="G49" s="70"/>
      <c r="H49" s="73" t="s">
        <v>87</v>
      </c>
      <c r="I49" s="73"/>
      <c r="J49" s="70"/>
      <c r="K49" s="70"/>
      <c r="M49" s="70"/>
      <c r="N49" s="73" t="s">
        <v>136</v>
      </c>
      <c r="O49" s="73"/>
      <c r="P49" s="70"/>
      <c r="Q49" s="70"/>
      <c r="T49" s="56"/>
      <c r="U49" s="32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</row>
    <row r="50" spans="1:52" s="11" customFormat="1" ht="17.100000000000001" customHeight="1" thickBot="1" x14ac:dyDescent="0.3">
      <c r="A50" s="70"/>
      <c r="B50" s="73" t="s">
        <v>39</v>
      </c>
      <c r="C50" s="73"/>
      <c r="D50" s="72"/>
      <c r="E50" s="72"/>
      <c r="G50" s="70"/>
      <c r="H50" s="73" t="s">
        <v>88</v>
      </c>
      <c r="I50" s="73"/>
      <c r="J50" s="70"/>
      <c r="K50" s="70"/>
      <c r="M50" s="71"/>
      <c r="N50" s="84" t="s">
        <v>137</v>
      </c>
      <c r="O50" s="84"/>
      <c r="P50" s="71"/>
      <c r="Q50" s="71"/>
      <c r="T50" s="56"/>
      <c r="U50" s="32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</row>
    <row r="51" spans="1:52" s="11" customFormat="1" ht="17.100000000000001" customHeight="1" thickTop="1" thickBot="1" x14ac:dyDescent="0.3">
      <c r="A51" s="70"/>
      <c r="B51" s="73" t="s">
        <v>41</v>
      </c>
      <c r="C51" s="73"/>
      <c r="D51" s="72"/>
      <c r="E51" s="72"/>
      <c r="G51" s="70"/>
      <c r="H51" s="73" t="s">
        <v>89</v>
      </c>
      <c r="I51" s="73"/>
      <c r="J51" s="70"/>
      <c r="K51" s="70"/>
      <c r="M51" s="74" t="s">
        <v>145</v>
      </c>
      <c r="N51" s="74"/>
      <c r="O51" s="74"/>
      <c r="P51" s="82">
        <f>AZ14</f>
        <v>80</v>
      </c>
      <c r="Q51" s="82">
        <f>AZ15</f>
        <v>65</v>
      </c>
      <c r="T51" s="56"/>
      <c r="U51" s="32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</row>
    <row r="52" spans="1:52" s="11" customFormat="1" ht="17.100000000000001" customHeight="1" thickBot="1" x14ac:dyDescent="0.3">
      <c r="A52" s="70">
        <v>19</v>
      </c>
      <c r="B52" s="73" t="s">
        <v>42</v>
      </c>
      <c r="C52" s="73"/>
      <c r="D52" s="72"/>
      <c r="E52" s="72"/>
      <c r="G52" s="70">
        <v>29</v>
      </c>
      <c r="H52" s="73" t="s">
        <v>90</v>
      </c>
      <c r="I52" s="73"/>
      <c r="J52" s="70">
        <v>75</v>
      </c>
      <c r="K52" s="70">
        <v>65</v>
      </c>
      <c r="M52" s="75"/>
      <c r="N52" s="75"/>
      <c r="O52" s="75"/>
      <c r="P52" s="83"/>
      <c r="Q52" s="83"/>
      <c r="T52" s="56"/>
      <c r="U52" s="32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</row>
    <row r="53" spans="1:52" s="11" customFormat="1" ht="17.100000000000001" customHeight="1" thickBot="1" x14ac:dyDescent="0.3">
      <c r="A53" s="70"/>
      <c r="B53" s="73" t="s">
        <v>40</v>
      </c>
      <c r="C53" s="73"/>
      <c r="D53" s="72"/>
      <c r="E53" s="72"/>
      <c r="G53" s="70"/>
      <c r="H53" s="73" t="s">
        <v>91</v>
      </c>
      <c r="I53" s="73"/>
      <c r="J53" s="70"/>
      <c r="K53" s="70"/>
      <c r="M53" s="39" t="s">
        <v>163</v>
      </c>
      <c r="N53" s="13"/>
      <c r="P53" s="56"/>
      <c r="Q53" s="56"/>
      <c r="T53" s="56"/>
      <c r="U53" s="32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</row>
    <row r="54" spans="1:52" s="11" customFormat="1" ht="17.100000000000001" customHeight="1" thickBot="1" x14ac:dyDescent="0.3">
      <c r="A54" s="70"/>
      <c r="B54" s="73" t="s">
        <v>43</v>
      </c>
      <c r="C54" s="73"/>
      <c r="D54" s="72"/>
      <c r="E54" s="72"/>
      <c r="G54" s="70"/>
      <c r="H54" s="73" t="s">
        <v>92</v>
      </c>
      <c r="I54" s="73"/>
      <c r="J54" s="70"/>
      <c r="K54" s="70"/>
      <c r="M54" s="12"/>
      <c r="N54" s="15"/>
      <c r="P54" s="56"/>
      <c r="Q54" s="56"/>
      <c r="T54" s="56"/>
      <c r="U54" s="32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</row>
    <row r="55" spans="1:52" s="11" customFormat="1" ht="17.100000000000001" customHeight="1" thickBot="1" x14ac:dyDescent="0.45">
      <c r="A55" s="70">
        <v>20</v>
      </c>
      <c r="B55" s="73" t="s">
        <v>44</v>
      </c>
      <c r="C55" s="73"/>
      <c r="D55" s="72"/>
      <c r="E55" s="72"/>
      <c r="G55" s="70"/>
      <c r="H55" s="73" t="s">
        <v>93</v>
      </c>
      <c r="I55" s="73"/>
      <c r="J55" s="70"/>
      <c r="K55" s="70"/>
      <c r="M55" s="85" t="s">
        <v>175</v>
      </c>
      <c r="N55" s="85"/>
      <c r="O55" s="85"/>
      <c r="P55" s="85"/>
      <c r="Q55" s="85"/>
      <c r="T55" s="56"/>
      <c r="U55" s="32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</row>
    <row r="56" spans="1:52" s="11" customFormat="1" ht="17.100000000000001" customHeight="1" thickBot="1" x14ac:dyDescent="0.45">
      <c r="A56" s="70"/>
      <c r="B56" s="73" t="s">
        <v>45</v>
      </c>
      <c r="C56" s="73"/>
      <c r="D56" s="72"/>
      <c r="E56" s="72"/>
      <c r="G56" s="70"/>
      <c r="H56" s="73" t="s">
        <v>94</v>
      </c>
      <c r="I56" s="73"/>
      <c r="J56" s="70"/>
      <c r="K56" s="70"/>
      <c r="M56" s="85" t="s">
        <v>194</v>
      </c>
      <c r="N56" s="85"/>
      <c r="O56" s="85"/>
      <c r="P56" s="85"/>
      <c r="Q56" s="85"/>
      <c r="T56" s="56"/>
      <c r="U56" s="32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</row>
    <row r="57" spans="1:52" s="11" customFormat="1" ht="17.100000000000001" customHeight="1" thickBot="1" x14ac:dyDescent="0.3">
      <c r="A57" s="70"/>
      <c r="B57" s="73" t="s">
        <v>46</v>
      </c>
      <c r="C57" s="73"/>
      <c r="D57" s="72"/>
      <c r="E57" s="72"/>
      <c r="G57" s="70"/>
      <c r="H57" s="73" t="s">
        <v>95</v>
      </c>
      <c r="I57" s="73"/>
      <c r="J57" s="70"/>
      <c r="K57" s="70"/>
      <c r="M57" s="12"/>
      <c r="N57" s="15"/>
      <c r="P57" s="61"/>
      <c r="Q57" s="61"/>
      <c r="T57" s="56"/>
      <c r="U57" s="32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</row>
    <row r="58" spans="1:52" s="11" customFormat="1" ht="17.100000000000001" customHeight="1" thickBot="1" x14ac:dyDescent="0.3">
      <c r="A58" s="70">
        <v>21</v>
      </c>
      <c r="B58" s="73" t="s">
        <v>47</v>
      </c>
      <c r="C58" s="73"/>
      <c r="D58" s="72"/>
      <c r="E58" s="72"/>
      <c r="G58" s="70"/>
      <c r="H58" s="73" t="s">
        <v>96</v>
      </c>
      <c r="I58" s="73"/>
      <c r="J58" s="70"/>
      <c r="K58" s="70"/>
      <c r="M58" s="86" t="s">
        <v>174</v>
      </c>
      <c r="N58" s="86"/>
      <c r="O58" s="86"/>
      <c r="P58" s="86"/>
      <c r="Q58" s="86"/>
      <c r="T58" s="56"/>
      <c r="U58" s="32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</row>
    <row r="59" spans="1:52" s="11" customFormat="1" ht="17.100000000000001" customHeight="1" thickBot="1" x14ac:dyDescent="0.3">
      <c r="A59" s="70"/>
      <c r="B59" s="73" t="s">
        <v>48</v>
      </c>
      <c r="C59" s="73"/>
      <c r="D59" s="72"/>
      <c r="E59" s="72"/>
      <c r="G59" s="70"/>
      <c r="H59" s="73" t="s">
        <v>97</v>
      </c>
      <c r="I59" s="73"/>
      <c r="J59" s="70"/>
      <c r="K59" s="70"/>
      <c r="M59" s="86"/>
      <c r="N59" s="86"/>
      <c r="O59" s="86"/>
      <c r="P59" s="86"/>
      <c r="Q59" s="86"/>
      <c r="T59" s="56"/>
      <c r="U59" s="32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</row>
    <row r="60" spans="1:52" s="11" customFormat="1" ht="17.100000000000001" customHeight="1" thickBot="1" x14ac:dyDescent="0.3">
      <c r="A60" s="70"/>
      <c r="B60" s="73" t="s">
        <v>49</v>
      </c>
      <c r="C60" s="73"/>
      <c r="D60" s="72"/>
      <c r="E60" s="72"/>
      <c r="G60" s="70"/>
      <c r="H60" s="73" t="s">
        <v>98</v>
      </c>
      <c r="I60" s="73"/>
      <c r="J60" s="70"/>
      <c r="K60" s="70"/>
      <c r="M60" s="68"/>
      <c r="N60" s="69"/>
      <c r="O60" s="69"/>
      <c r="P60" s="68"/>
      <c r="Q60" s="68"/>
      <c r="T60" s="56"/>
      <c r="U60" s="32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</row>
    <row r="61" spans="1:52" s="11" customFormat="1" ht="17.100000000000001" customHeight="1" thickBot="1" x14ac:dyDescent="0.3">
      <c r="A61" s="70"/>
      <c r="B61" s="73" t="s">
        <v>50</v>
      </c>
      <c r="C61" s="73"/>
      <c r="D61" s="72"/>
      <c r="E61" s="72"/>
      <c r="G61" s="70"/>
      <c r="H61" s="73" t="s">
        <v>99</v>
      </c>
      <c r="I61" s="73"/>
      <c r="J61" s="70"/>
      <c r="K61" s="70"/>
      <c r="M61" s="68"/>
      <c r="N61" s="69"/>
      <c r="O61" s="69"/>
      <c r="P61" s="68"/>
      <c r="Q61" s="68"/>
      <c r="T61" s="56"/>
      <c r="U61" s="32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</row>
    <row r="62" spans="1:52" s="11" customFormat="1" ht="17.100000000000001" customHeight="1" thickBot="1" x14ac:dyDescent="0.3">
      <c r="A62" s="70"/>
      <c r="B62" s="73" t="s">
        <v>51</v>
      </c>
      <c r="C62" s="73"/>
      <c r="D62" s="72"/>
      <c r="E62" s="72"/>
      <c r="G62" s="70"/>
      <c r="H62" s="73" t="s">
        <v>100</v>
      </c>
      <c r="I62" s="73"/>
      <c r="J62" s="70"/>
      <c r="K62" s="70"/>
      <c r="M62" s="87" t="s">
        <v>177</v>
      </c>
      <c r="N62" s="87"/>
      <c r="O62" s="87"/>
      <c r="P62" s="87"/>
      <c r="Q62" s="87"/>
      <c r="T62" s="56"/>
      <c r="U62" s="32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</row>
    <row r="63" spans="1:52" ht="6" customHeight="1" x14ac:dyDescent="0.25">
      <c r="M63" s="61"/>
      <c r="N63" s="61"/>
      <c r="O63" s="61"/>
      <c r="P63" s="61"/>
      <c r="Q63" s="61"/>
    </row>
    <row r="64" spans="1:52" x14ac:dyDescent="0.25">
      <c r="B64" s="4"/>
      <c r="E64" s="18"/>
      <c r="F64" s="3"/>
      <c r="H64" s="2"/>
      <c r="M64" s="61"/>
      <c r="P64" s="61"/>
      <c r="Q64" s="61"/>
    </row>
    <row r="65" spans="2:8" x14ac:dyDescent="0.25">
      <c r="B65" s="2"/>
      <c r="H65" s="2"/>
    </row>
    <row r="66" spans="2:8" x14ac:dyDescent="0.25">
      <c r="B66" s="2"/>
      <c r="H66" s="2"/>
    </row>
  </sheetData>
  <mergeCells count="250">
    <mergeCell ref="B54:C54"/>
    <mergeCell ref="H54:I54"/>
    <mergeCell ref="H60:I60"/>
    <mergeCell ref="B61:C61"/>
    <mergeCell ref="H61:I61"/>
    <mergeCell ref="B62:C62"/>
    <mergeCell ref="H62:I62"/>
    <mergeCell ref="M62:Q62"/>
    <mergeCell ref="A58:A62"/>
    <mergeCell ref="B58:C58"/>
    <mergeCell ref="D58:D62"/>
    <mergeCell ref="E58:E62"/>
    <mergeCell ref="H58:I58"/>
    <mergeCell ref="M58:Q58"/>
    <mergeCell ref="B59:C59"/>
    <mergeCell ref="H59:I59"/>
    <mergeCell ref="M59:Q59"/>
    <mergeCell ref="B60:C60"/>
    <mergeCell ref="A55:A57"/>
    <mergeCell ref="B55:C55"/>
    <mergeCell ref="D55:D57"/>
    <mergeCell ref="E55:E57"/>
    <mergeCell ref="H55:I55"/>
    <mergeCell ref="Q51:Q52"/>
    <mergeCell ref="A52:A54"/>
    <mergeCell ref="B52:C52"/>
    <mergeCell ref="D52:D54"/>
    <mergeCell ref="E52:E54"/>
    <mergeCell ref="G52:G62"/>
    <mergeCell ref="H52:I52"/>
    <mergeCell ref="J52:J62"/>
    <mergeCell ref="K52:K62"/>
    <mergeCell ref="B53:C53"/>
    <mergeCell ref="A49:A51"/>
    <mergeCell ref="Q14:Q50"/>
    <mergeCell ref="M55:Q55"/>
    <mergeCell ref="B56:C56"/>
    <mergeCell ref="H56:I56"/>
    <mergeCell ref="M56:Q56"/>
    <mergeCell ref="B57:C57"/>
    <mergeCell ref="H57:I57"/>
    <mergeCell ref="H53:I53"/>
    <mergeCell ref="B51:C51"/>
    <mergeCell ref="H51:I51"/>
    <mergeCell ref="M51:O52"/>
    <mergeCell ref="P51:P52"/>
    <mergeCell ref="B48:C48"/>
    <mergeCell ref="P14:P50"/>
    <mergeCell ref="B15:C15"/>
    <mergeCell ref="H15:I15"/>
    <mergeCell ref="B16:C16"/>
    <mergeCell ref="H16:I16"/>
    <mergeCell ref="H46:I46"/>
    <mergeCell ref="N46:O46"/>
    <mergeCell ref="H43:I43"/>
    <mergeCell ref="J43:J51"/>
    <mergeCell ref="N39:O39"/>
    <mergeCell ref="B46:C46"/>
    <mergeCell ref="E35:E36"/>
    <mergeCell ref="H35:I35"/>
    <mergeCell ref="N35:O35"/>
    <mergeCell ref="B36:C36"/>
    <mergeCell ref="N32:O32"/>
    <mergeCell ref="H50:I50"/>
    <mergeCell ref="N50:O50"/>
    <mergeCell ref="B43:C43"/>
    <mergeCell ref="G43:G51"/>
    <mergeCell ref="H48:I48"/>
    <mergeCell ref="N48:O48"/>
    <mergeCell ref="B49:C49"/>
    <mergeCell ref="D49:D51"/>
    <mergeCell ref="E49:E51"/>
    <mergeCell ref="H49:I49"/>
    <mergeCell ref="N49:O49"/>
    <mergeCell ref="B50:C50"/>
    <mergeCell ref="N40:O40"/>
    <mergeCell ref="B41:C41"/>
    <mergeCell ref="H41:I41"/>
    <mergeCell ref="N41:O41"/>
    <mergeCell ref="A47:A48"/>
    <mergeCell ref="B47:C47"/>
    <mergeCell ref="D47:D48"/>
    <mergeCell ref="E47:E48"/>
    <mergeCell ref="H47:I47"/>
    <mergeCell ref="N47:O47"/>
    <mergeCell ref="K43:K51"/>
    <mergeCell ref="N43:O43"/>
    <mergeCell ref="A44:A46"/>
    <mergeCell ref="B44:C44"/>
    <mergeCell ref="D44:D46"/>
    <mergeCell ref="E44:E46"/>
    <mergeCell ref="H44:I44"/>
    <mergeCell ref="N44:O44"/>
    <mergeCell ref="B45:C45"/>
    <mergeCell ref="H45:I45"/>
    <mergeCell ref="A42:A43"/>
    <mergeCell ref="B42:C42"/>
    <mergeCell ref="D42:D43"/>
    <mergeCell ref="E42:E43"/>
    <mergeCell ref="A37:A39"/>
    <mergeCell ref="B37:C37"/>
    <mergeCell ref="D37:D39"/>
    <mergeCell ref="E37:E39"/>
    <mergeCell ref="H37:I37"/>
    <mergeCell ref="N37:O37"/>
    <mergeCell ref="B38:C38"/>
    <mergeCell ref="H38:I38"/>
    <mergeCell ref="N45:O45"/>
    <mergeCell ref="N38:O38"/>
    <mergeCell ref="B39:C39"/>
    <mergeCell ref="G36:G42"/>
    <mergeCell ref="H36:I36"/>
    <mergeCell ref="J36:J42"/>
    <mergeCell ref="K36:K42"/>
    <mergeCell ref="N36:O36"/>
    <mergeCell ref="H39:I39"/>
    <mergeCell ref="H42:I42"/>
    <mergeCell ref="N42:O42"/>
    <mergeCell ref="A40:A41"/>
    <mergeCell ref="B40:C40"/>
    <mergeCell ref="D40:D41"/>
    <mergeCell ref="E40:E41"/>
    <mergeCell ref="H40:I40"/>
    <mergeCell ref="N33:O33"/>
    <mergeCell ref="B34:C34"/>
    <mergeCell ref="H34:I34"/>
    <mergeCell ref="N34:O34"/>
    <mergeCell ref="J30:J35"/>
    <mergeCell ref="K30:K35"/>
    <mergeCell ref="N30:O30"/>
    <mergeCell ref="B31:C31"/>
    <mergeCell ref="H31:I31"/>
    <mergeCell ref="N31:O31"/>
    <mergeCell ref="B32:C32"/>
    <mergeCell ref="D32:D34"/>
    <mergeCell ref="E32:E34"/>
    <mergeCell ref="H32:I32"/>
    <mergeCell ref="A30:A31"/>
    <mergeCell ref="B30:C30"/>
    <mergeCell ref="D30:D31"/>
    <mergeCell ref="E30:E31"/>
    <mergeCell ref="G30:G35"/>
    <mergeCell ref="H30:I30"/>
    <mergeCell ref="A32:A34"/>
    <mergeCell ref="A35:A36"/>
    <mergeCell ref="B35:C35"/>
    <mergeCell ref="D35:D36"/>
    <mergeCell ref="B33:C33"/>
    <mergeCell ref="H33:I33"/>
    <mergeCell ref="A26:A27"/>
    <mergeCell ref="B26:C26"/>
    <mergeCell ref="D26:D27"/>
    <mergeCell ref="E26:E27"/>
    <mergeCell ref="H26:I26"/>
    <mergeCell ref="N26:O26"/>
    <mergeCell ref="B27:C27"/>
    <mergeCell ref="H27:I27"/>
    <mergeCell ref="N27:O27"/>
    <mergeCell ref="G25:G29"/>
    <mergeCell ref="H25:I25"/>
    <mergeCell ref="J25:J29"/>
    <mergeCell ref="K25:K29"/>
    <mergeCell ref="N25:O25"/>
    <mergeCell ref="A28:A29"/>
    <mergeCell ref="B28:C28"/>
    <mergeCell ref="D28:D29"/>
    <mergeCell ref="E28:E29"/>
    <mergeCell ref="H28:I28"/>
    <mergeCell ref="N28:O28"/>
    <mergeCell ref="B29:C29"/>
    <mergeCell ref="H29:I29"/>
    <mergeCell ref="N29:O29"/>
    <mergeCell ref="B21:C21"/>
    <mergeCell ref="H21:I21"/>
    <mergeCell ref="N21:O21"/>
    <mergeCell ref="A22:A23"/>
    <mergeCell ref="B22:C22"/>
    <mergeCell ref="D22:D23"/>
    <mergeCell ref="E22:E23"/>
    <mergeCell ref="G22:G24"/>
    <mergeCell ref="H22:I22"/>
    <mergeCell ref="J22:J24"/>
    <mergeCell ref="N24:O24"/>
    <mergeCell ref="K22:K24"/>
    <mergeCell ref="N22:O22"/>
    <mergeCell ref="B23:C23"/>
    <mergeCell ref="H23:I23"/>
    <mergeCell ref="N23:O23"/>
    <mergeCell ref="A24:A25"/>
    <mergeCell ref="B24:C24"/>
    <mergeCell ref="D24:D25"/>
    <mergeCell ref="E24:E25"/>
    <mergeCell ref="H24:I24"/>
    <mergeCell ref="B25:C25"/>
    <mergeCell ref="A19:A20"/>
    <mergeCell ref="B19:C19"/>
    <mergeCell ref="D19:D20"/>
    <mergeCell ref="E19:E20"/>
    <mergeCell ref="H19:I19"/>
    <mergeCell ref="N19:O19"/>
    <mergeCell ref="B20:C20"/>
    <mergeCell ref="H20:I20"/>
    <mergeCell ref="N20:O20"/>
    <mergeCell ref="A17:A18"/>
    <mergeCell ref="B17:C17"/>
    <mergeCell ref="D17:D18"/>
    <mergeCell ref="E17:E18"/>
    <mergeCell ref="H17:I17"/>
    <mergeCell ref="N17:O17"/>
    <mergeCell ref="B18:C18"/>
    <mergeCell ref="G18:G21"/>
    <mergeCell ref="H18:I18"/>
    <mergeCell ref="J18:J21"/>
    <mergeCell ref="J14:J17"/>
    <mergeCell ref="K14:K17"/>
    <mergeCell ref="M14:M50"/>
    <mergeCell ref="N14:O14"/>
    <mergeCell ref="N15:O15"/>
    <mergeCell ref="N16:O16"/>
    <mergeCell ref="K18:K21"/>
    <mergeCell ref="N18:O18"/>
    <mergeCell ref="A14:A15"/>
    <mergeCell ref="B14:C14"/>
    <mergeCell ref="D14:D15"/>
    <mergeCell ref="E14:E15"/>
    <mergeCell ref="G14:G17"/>
    <mergeCell ref="H14:I14"/>
    <mergeCell ref="U11:U12"/>
    <mergeCell ref="V11:AY11"/>
    <mergeCell ref="AZ11:AZ12"/>
    <mergeCell ref="A8:B8"/>
    <mergeCell ref="M8:N8"/>
    <mergeCell ref="A9:B9"/>
    <mergeCell ref="M9:N9"/>
    <mergeCell ref="A11:A12"/>
    <mergeCell ref="B11:C12"/>
    <mergeCell ref="D11:E11"/>
    <mergeCell ref="G11:G12"/>
    <mergeCell ref="H11:I12"/>
    <mergeCell ref="J11:K11"/>
    <mergeCell ref="A1:Q1"/>
    <mergeCell ref="A2:Q2"/>
    <mergeCell ref="A3:Q3"/>
    <mergeCell ref="A4:Q4"/>
    <mergeCell ref="A6:Q6"/>
    <mergeCell ref="A7:B7"/>
    <mergeCell ref="M7:N7"/>
    <mergeCell ref="M11:M12"/>
    <mergeCell ref="N11:O12"/>
    <mergeCell ref="P11:Q11"/>
  </mergeCells>
  <pageMargins left="0.35" right="0.25" top="0.31" bottom="0.74803149606299213" header="0.31496062992125984" footer="0.31496062992125984"/>
  <pageSetup paperSize="5" scale="85" orientation="portrait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6"/>
  <sheetViews>
    <sheetView topLeftCell="A45" zoomScaleNormal="100" workbookViewId="0">
      <selection activeCell="S56" sqref="S56"/>
    </sheetView>
  </sheetViews>
  <sheetFormatPr defaultRowHeight="15" x14ac:dyDescent="0.25"/>
  <cols>
    <col min="1" max="1" width="4.7109375" style="56" customWidth="1"/>
    <col min="2" max="2" width="18.7109375" customWidth="1"/>
    <col min="3" max="3" width="4.7109375" customWidth="1"/>
    <col min="4" max="5" width="4.7109375" style="56" customWidth="1"/>
    <col min="6" max="6" width="2.28515625" customWidth="1"/>
    <col min="7" max="7" width="4.7109375" style="56" customWidth="1"/>
    <col min="8" max="8" width="18.7109375" customWidth="1"/>
    <col min="9" max="9" width="4.7109375" customWidth="1"/>
    <col min="10" max="11" width="4.7109375" style="56" customWidth="1"/>
    <col min="12" max="12" width="2.28515625" customWidth="1"/>
    <col min="13" max="13" width="4.7109375" style="56" customWidth="1"/>
    <col min="14" max="15" width="10.7109375" customWidth="1"/>
    <col min="16" max="17" width="4.7109375" style="56" customWidth="1"/>
    <col min="20" max="20" width="4.42578125" style="5" customWidth="1"/>
    <col min="21" max="21" width="12.28515625" style="31" customWidth="1"/>
    <col min="22" max="39" width="4.7109375" style="56" customWidth="1"/>
    <col min="40" max="51" width="4.7109375" style="5" customWidth="1"/>
    <col min="52" max="52" width="9.140625" style="5"/>
  </cols>
  <sheetData>
    <row r="1" spans="1:52" ht="25.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52" ht="21" customHeight="1" x14ac:dyDescent="0.25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52" ht="18" customHeight="1" x14ac:dyDescent="0.25">
      <c r="A3" s="77" t="s">
        <v>158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52" ht="15" customHeight="1" x14ac:dyDescent="0.25">
      <c r="A4" s="78" t="s">
        <v>159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52" ht="24.75" customHeight="1" x14ac:dyDescent="0.25"/>
    <row r="6" spans="1:52" ht="20.100000000000001" customHeight="1" x14ac:dyDescent="0.3">
      <c r="A6" s="79" t="s">
        <v>138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</row>
    <row r="7" spans="1:52" ht="15" customHeight="1" x14ac:dyDescent="0.25">
      <c r="A7" s="91" t="s">
        <v>154</v>
      </c>
      <c r="B7" s="91"/>
      <c r="C7" s="9" t="s">
        <v>186</v>
      </c>
      <c r="D7" s="51"/>
      <c r="E7" s="51"/>
      <c r="F7" s="56"/>
      <c r="J7" s="51"/>
      <c r="M7" s="92" t="s">
        <v>139</v>
      </c>
      <c r="N7" s="92"/>
      <c r="O7" s="10" t="s">
        <v>155</v>
      </c>
    </row>
    <row r="8" spans="1:52" ht="15" customHeight="1" x14ac:dyDescent="0.25">
      <c r="A8" s="91" t="s">
        <v>140</v>
      </c>
      <c r="B8" s="91"/>
      <c r="C8" s="9">
        <v>2101112</v>
      </c>
      <c r="D8" s="51"/>
      <c r="E8" s="51"/>
      <c r="F8" s="56"/>
      <c r="J8" s="51"/>
      <c r="M8" s="92" t="s">
        <v>141</v>
      </c>
      <c r="N8" s="92"/>
      <c r="O8" s="10" t="s">
        <v>176</v>
      </c>
    </row>
    <row r="9" spans="1:52" ht="15" customHeight="1" x14ac:dyDescent="0.25">
      <c r="A9" s="91" t="s">
        <v>173</v>
      </c>
      <c r="B9" s="91"/>
      <c r="C9" s="38" t="s">
        <v>160</v>
      </c>
      <c r="D9" s="51"/>
      <c r="E9" s="51"/>
      <c r="F9" s="56"/>
      <c r="I9" s="8"/>
      <c r="J9" s="51"/>
      <c r="K9" s="6"/>
      <c r="L9" s="8"/>
      <c r="M9" s="92" t="s">
        <v>142</v>
      </c>
      <c r="N9" s="92"/>
      <c r="O9" s="10" t="s">
        <v>156</v>
      </c>
      <c r="P9" s="6"/>
      <c r="Q9" s="6"/>
    </row>
    <row r="10" spans="1:52" ht="4.5" customHeight="1" thickBot="1" x14ac:dyDescent="0.3"/>
    <row r="11" spans="1:52" ht="16.5" thickTop="1" thickBot="1" x14ac:dyDescent="0.3">
      <c r="A11" s="81" t="s">
        <v>0</v>
      </c>
      <c r="B11" s="81" t="s">
        <v>1</v>
      </c>
      <c r="C11" s="81"/>
      <c r="D11" s="81" t="s">
        <v>2</v>
      </c>
      <c r="E11" s="81"/>
      <c r="F11" s="19"/>
      <c r="G11" s="81" t="s">
        <v>0</v>
      </c>
      <c r="H11" s="81" t="s">
        <v>1</v>
      </c>
      <c r="I11" s="81"/>
      <c r="J11" s="81" t="s">
        <v>2</v>
      </c>
      <c r="K11" s="81"/>
      <c r="L11" s="19"/>
      <c r="M11" s="81" t="s">
        <v>0</v>
      </c>
      <c r="N11" s="81" t="s">
        <v>1</v>
      </c>
      <c r="O11" s="81"/>
      <c r="P11" s="81" t="s">
        <v>2</v>
      </c>
      <c r="Q11" s="81"/>
      <c r="U11" s="89"/>
      <c r="V11" s="88" t="s">
        <v>153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 t="s">
        <v>146</v>
      </c>
    </row>
    <row r="12" spans="1:52" ht="12" customHeight="1" thickTop="1" thickBot="1" x14ac:dyDescent="0.3">
      <c r="A12" s="81"/>
      <c r="B12" s="81"/>
      <c r="C12" s="81"/>
      <c r="D12" s="53" t="s">
        <v>143</v>
      </c>
      <c r="E12" s="53" t="s">
        <v>144</v>
      </c>
      <c r="F12" s="19"/>
      <c r="G12" s="81"/>
      <c r="H12" s="81"/>
      <c r="I12" s="81"/>
      <c r="J12" s="53" t="s">
        <v>143</v>
      </c>
      <c r="K12" s="53" t="s">
        <v>144</v>
      </c>
      <c r="L12" s="19"/>
      <c r="M12" s="81"/>
      <c r="N12" s="81"/>
      <c r="O12" s="81"/>
      <c r="P12" s="53" t="s">
        <v>143</v>
      </c>
      <c r="Q12" s="53" t="s">
        <v>144</v>
      </c>
      <c r="U12" s="90"/>
      <c r="V12" s="52">
        <v>1</v>
      </c>
      <c r="W12" s="52">
        <v>2</v>
      </c>
      <c r="X12" s="52">
        <v>3</v>
      </c>
      <c r="Y12" s="52">
        <v>4</v>
      </c>
      <c r="Z12" s="52">
        <v>5</v>
      </c>
      <c r="AA12" s="52">
        <v>6</v>
      </c>
      <c r="AB12" s="52">
        <v>7</v>
      </c>
      <c r="AC12" s="52">
        <v>8</v>
      </c>
      <c r="AD12" s="52">
        <v>9</v>
      </c>
      <c r="AE12" s="52">
        <v>10</v>
      </c>
      <c r="AF12" s="52">
        <v>11</v>
      </c>
      <c r="AG12" s="52">
        <v>12</v>
      </c>
      <c r="AH12" s="52">
        <v>13</v>
      </c>
      <c r="AI12" s="52">
        <v>14</v>
      </c>
      <c r="AJ12" s="52">
        <v>15</v>
      </c>
      <c r="AK12" s="52">
        <v>16</v>
      </c>
      <c r="AL12" s="52">
        <v>17</v>
      </c>
      <c r="AM12" s="52">
        <v>18</v>
      </c>
      <c r="AN12" s="52">
        <v>19</v>
      </c>
      <c r="AO12" s="52">
        <v>20</v>
      </c>
      <c r="AP12" s="52">
        <v>21</v>
      </c>
      <c r="AQ12" s="52">
        <v>22</v>
      </c>
      <c r="AR12" s="52">
        <v>23</v>
      </c>
      <c r="AS12" s="52">
        <v>24</v>
      </c>
      <c r="AT12" s="52">
        <v>25</v>
      </c>
      <c r="AU12" s="52">
        <v>26</v>
      </c>
      <c r="AV12" s="52">
        <v>27</v>
      </c>
      <c r="AW12" s="52">
        <v>28</v>
      </c>
      <c r="AX12" s="52">
        <v>29</v>
      </c>
      <c r="AY12" s="52">
        <v>30</v>
      </c>
      <c r="AZ12" s="88"/>
    </row>
    <row r="13" spans="1:52" ht="3.75" customHeight="1" thickTop="1" thickBot="1" x14ac:dyDescent="0.3"/>
    <row r="14" spans="1:52" s="11" customFormat="1" ht="17.100000000000001" customHeight="1" thickBot="1" x14ac:dyDescent="0.3">
      <c r="A14" s="70">
        <v>1</v>
      </c>
      <c r="B14" s="73" t="s">
        <v>3</v>
      </c>
      <c r="C14" s="73"/>
      <c r="D14" s="72"/>
      <c r="E14" s="72"/>
      <c r="G14" s="70">
        <v>22</v>
      </c>
      <c r="H14" s="73" t="s">
        <v>52</v>
      </c>
      <c r="I14" s="73"/>
      <c r="J14" s="72"/>
      <c r="K14" s="72"/>
      <c r="M14" s="70">
        <v>30</v>
      </c>
      <c r="N14" s="73" t="s">
        <v>101</v>
      </c>
      <c r="O14" s="73"/>
      <c r="P14" s="70">
        <v>85</v>
      </c>
      <c r="Q14" s="70">
        <v>65</v>
      </c>
      <c r="T14" s="56"/>
      <c r="U14" s="34" t="s">
        <v>151</v>
      </c>
      <c r="V14" s="52">
        <f>D14</f>
        <v>0</v>
      </c>
      <c r="W14" s="52">
        <f>D16</f>
        <v>0</v>
      </c>
      <c r="X14" s="52">
        <f>D17</f>
        <v>0</v>
      </c>
      <c r="Y14" s="52">
        <f>D19</f>
        <v>0</v>
      </c>
      <c r="Z14" s="52">
        <f>D21</f>
        <v>0</v>
      </c>
      <c r="AA14" s="52">
        <f>D22</f>
        <v>0</v>
      </c>
      <c r="AB14" s="52">
        <f>D24</f>
        <v>0</v>
      </c>
      <c r="AC14" s="52">
        <f>D26</f>
        <v>0</v>
      </c>
      <c r="AD14" s="52">
        <f>D28</f>
        <v>0</v>
      </c>
      <c r="AE14" s="52">
        <f>D30</f>
        <v>0</v>
      </c>
      <c r="AF14" s="52">
        <f>D32</f>
        <v>0</v>
      </c>
      <c r="AG14" s="52">
        <f>D35</f>
        <v>0</v>
      </c>
      <c r="AH14" s="52">
        <f>D37</f>
        <v>0</v>
      </c>
      <c r="AI14" s="52">
        <f>D40</f>
        <v>0</v>
      </c>
      <c r="AJ14" s="52">
        <f>D42</f>
        <v>0</v>
      </c>
      <c r="AK14" s="52">
        <f>D44</f>
        <v>0</v>
      </c>
      <c r="AL14" s="52">
        <f>D47</f>
        <v>0</v>
      </c>
      <c r="AM14" s="52">
        <f>D49</f>
        <v>0</v>
      </c>
      <c r="AN14" s="52">
        <f>D52</f>
        <v>0</v>
      </c>
      <c r="AO14" s="52">
        <f>D55</f>
        <v>0</v>
      </c>
      <c r="AP14" s="52">
        <f>D58</f>
        <v>0</v>
      </c>
      <c r="AQ14" s="52">
        <f>J14</f>
        <v>0</v>
      </c>
      <c r="AR14" s="52">
        <f>J18</f>
        <v>0</v>
      </c>
      <c r="AS14" s="52">
        <f>J22</f>
        <v>0</v>
      </c>
      <c r="AT14" s="52">
        <f>J25</f>
        <v>0</v>
      </c>
      <c r="AU14" s="52">
        <f>J30</f>
        <v>0</v>
      </c>
      <c r="AV14" s="52">
        <f>J36</f>
        <v>0</v>
      </c>
      <c r="AW14" s="52">
        <f>J43</f>
        <v>0</v>
      </c>
      <c r="AX14" s="52">
        <f>J52</f>
        <v>85</v>
      </c>
      <c r="AY14" s="52">
        <f>P14</f>
        <v>85</v>
      </c>
      <c r="AZ14" s="35">
        <f>AVERAGEIF(V14:AY14,"&gt;0")</f>
        <v>85</v>
      </c>
    </row>
    <row r="15" spans="1:52" s="11" customFormat="1" ht="17.100000000000001" customHeight="1" thickBot="1" x14ac:dyDescent="0.3">
      <c r="A15" s="70"/>
      <c r="B15" s="73" t="s">
        <v>4</v>
      </c>
      <c r="C15" s="73"/>
      <c r="D15" s="72"/>
      <c r="E15" s="72"/>
      <c r="G15" s="70"/>
      <c r="H15" s="73" t="s">
        <v>53</v>
      </c>
      <c r="I15" s="73"/>
      <c r="J15" s="72"/>
      <c r="K15" s="72"/>
      <c r="M15" s="70"/>
      <c r="N15" s="73" t="s">
        <v>102</v>
      </c>
      <c r="O15" s="73"/>
      <c r="P15" s="70"/>
      <c r="Q15" s="70"/>
      <c r="T15" s="56"/>
      <c r="U15" s="34" t="s">
        <v>152</v>
      </c>
      <c r="V15" s="52">
        <f>E14</f>
        <v>0</v>
      </c>
      <c r="W15" s="52">
        <f>E16</f>
        <v>0</v>
      </c>
      <c r="X15" s="52">
        <f>E17</f>
        <v>0</v>
      </c>
      <c r="Y15" s="52">
        <f>E19</f>
        <v>0</v>
      </c>
      <c r="Z15" s="52">
        <f>E21</f>
        <v>0</v>
      </c>
      <c r="AA15" s="52">
        <f>E22</f>
        <v>0</v>
      </c>
      <c r="AB15" s="52">
        <f>E24</f>
        <v>0</v>
      </c>
      <c r="AC15" s="52">
        <f>E26</f>
        <v>0</v>
      </c>
      <c r="AD15" s="52">
        <f>E28</f>
        <v>0</v>
      </c>
      <c r="AE15" s="52">
        <f>E30</f>
        <v>0</v>
      </c>
      <c r="AF15" s="52">
        <f>E32</f>
        <v>0</v>
      </c>
      <c r="AG15" s="52">
        <f>E35</f>
        <v>0</v>
      </c>
      <c r="AH15" s="52">
        <f>E37</f>
        <v>0</v>
      </c>
      <c r="AI15" s="52">
        <f>E40</f>
        <v>0</v>
      </c>
      <c r="AJ15" s="52">
        <f>E42</f>
        <v>0</v>
      </c>
      <c r="AK15" s="52">
        <f>E44</f>
        <v>0</v>
      </c>
      <c r="AL15" s="52">
        <f>E47</f>
        <v>0</v>
      </c>
      <c r="AM15" s="52">
        <f>E49</f>
        <v>0</v>
      </c>
      <c r="AN15" s="52">
        <f>E52</f>
        <v>0</v>
      </c>
      <c r="AO15" s="52">
        <f>E55</f>
        <v>0</v>
      </c>
      <c r="AP15" s="52">
        <f>E58</f>
        <v>0</v>
      </c>
      <c r="AQ15" s="52">
        <f>K14</f>
        <v>0</v>
      </c>
      <c r="AR15" s="52">
        <f>K18</f>
        <v>0</v>
      </c>
      <c r="AS15" s="52">
        <f>K22</f>
        <v>0</v>
      </c>
      <c r="AT15" s="52">
        <f>K25</f>
        <v>0</v>
      </c>
      <c r="AU15" s="52">
        <f>K30</f>
        <v>0</v>
      </c>
      <c r="AV15" s="52">
        <f>K36</f>
        <v>0</v>
      </c>
      <c r="AW15" s="52">
        <f>K43</f>
        <v>0</v>
      </c>
      <c r="AX15" s="52">
        <f>K52</f>
        <v>65</v>
      </c>
      <c r="AY15" s="52">
        <f>Q14</f>
        <v>65</v>
      </c>
      <c r="AZ15" s="35">
        <f>AVERAGEIF(V15:AY15,"&gt;0")</f>
        <v>65</v>
      </c>
    </row>
    <row r="16" spans="1:52" s="11" customFormat="1" ht="17.100000000000001" customHeight="1" thickBot="1" x14ac:dyDescent="0.3">
      <c r="A16" s="55">
        <v>2</v>
      </c>
      <c r="B16" s="73" t="s">
        <v>6</v>
      </c>
      <c r="C16" s="73"/>
      <c r="D16" s="54"/>
      <c r="E16" s="54"/>
      <c r="G16" s="70"/>
      <c r="H16" s="73" t="s">
        <v>54</v>
      </c>
      <c r="I16" s="73"/>
      <c r="J16" s="72"/>
      <c r="K16" s="72"/>
      <c r="M16" s="70"/>
      <c r="N16" s="73" t="s">
        <v>103</v>
      </c>
      <c r="O16" s="73"/>
      <c r="P16" s="70"/>
      <c r="Q16" s="70"/>
      <c r="T16" s="56"/>
      <c r="U16" s="32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s="11" customFormat="1" ht="17.100000000000001" customHeight="1" thickBot="1" x14ac:dyDescent="0.3">
      <c r="A17" s="70">
        <v>3</v>
      </c>
      <c r="B17" s="73" t="s">
        <v>5</v>
      </c>
      <c r="C17" s="73"/>
      <c r="D17" s="72"/>
      <c r="E17" s="72"/>
      <c r="G17" s="70"/>
      <c r="H17" s="73" t="s">
        <v>55</v>
      </c>
      <c r="I17" s="73"/>
      <c r="J17" s="72"/>
      <c r="K17" s="72"/>
      <c r="M17" s="70"/>
      <c r="N17" s="73" t="s">
        <v>104</v>
      </c>
      <c r="O17" s="73"/>
      <c r="P17" s="70"/>
      <c r="Q17" s="70"/>
      <c r="T17" s="56"/>
      <c r="U17" s="32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</row>
    <row r="18" spans="1:52" s="11" customFormat="1" ht="17.100000000000001" customHeight="1" thickBot="1" x14ac:dyDescent="0.3">
      <c r="A18" s="70"/>
      <c r="B18" s="73" t="s">
        <v>7</v>
      </c>
      <c r="C18" s="73"/>
      <c r="D18" s="72"/>
      <c r="E18" s="72"/>
      <c r="G18" s="70">
        <v>23</v>
      </c>
      <c r="H18" s="73" t="s">
        <v>56</v>
      </c>
      <c r="I18" s="73"/>
      <c r="J18" s="70"/>
      <c r="K18" s="70"/>
      <c r="M18" s="70"/>
      <c r="N18" s="73" t="s">
        <v>105</v>
      </c>
      <c r="O18" s="73"/>
      <c r="P18" s="70"/>
      <c r="Q18" s="70"/>
      <c r="T18" s="56"/>
      <c r="U18" s="32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</row>
    <row r="19" spans="1:52" s="11" customFormat="1" ht="17.100000000000001" customHeight="1" thickBot="1" x14ac:dyDescent="0.3">
      <c r="A19" s="70">
        <v>4</v>
      </c>
      <c r="B19" s="73" t="s">
        <v>8</v>
      </c>
      <c r="C19" s="73"/>
      <c r="D19" s="72"/>
      <c r="E19" s="70"/>
      <c r="G19" s="70"/>
      <c r="H19" s="73" t="s">
        <v>57</v>
      </c>
      <c r="I19" s="73"/>
      <c r="J19" s="70"/>
      <c r="K19" s="70"/>
      <c r="M19" s="70"/>
      <c r="N19" s="73" t="s">
        <v>106</v>
      </c>
      <c r="O19" s="73"/>
      <c r="P19" s="70"/>
      <c r="Q19" s="70"/>
      <c r="T19" s="56"/>
      <c r="U19" s="32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</row>
    <row r="20" spans="1:52" s="11" customFormat="1" ht="17.100000000000001" customHeight="1" thickBot="1" x14ac:dyDescent="0.3">
      <c r="A20" s="70"/>
      <c r="B20" s="73" t="s">
        <v>9</v>
      </c>
      <c r="C20" s="73"/>
      <c r="D20" s="72"/>
      <c r="E20" s="70"/>
      <c r="G20" s="70"/>
      <c r="H20" s="73" t="s">
        <v>58</v>
      </c>
      <c r="I20" s="73"/>
      <c r="J20" s="70"/>
      <c r="K20" s="70"/>
      <c r="M20" s="70"/>
      <c r="N20" s="73" t="s">
        <v>107</v>
      </c>
      <c r="O20" s="73"/>
      <c r="P20" s="70"/>
      <c r="Q20" s="70"/>
      <c r="T20" s="56"/>
      <c r="U20" s="32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</row>
    <row r="21" spans="1:52" s="11" customFormat="1" ht="17.100000000000001" customHeight="1" thickBot="1" x14ac:dyDescent="0.3">
      <c r="A21" s="55">
        <v>5</v>
      </c>
      <c r="B21" s="73" t="s">
        <v>10</v>
      </c>
      <c r="C21" s="73"/>
      <c r="D21" s="54"/>
      <c r="E21" s="54"/>
      <c r="G21" s="70"/>
      <c r="H21" s="73" t="s">
        <v>59</v>
      </c>
      <c r="I21" s="73"/>
      <c r="J21" s="70"/>
      <c r="K21" s="70"/>
      <c r="M21" s="70"/>
      <c r="N21" s="73" t="s">
        <v>108</v>
      </c>
      <c r="O21" s="73"/>
      <c r="P21" s="70"/>
      <c r="Q21" s="70"/>
      <c r="T21" s="56"/>
      <c r="U21" s="32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</row>
    <row r="22" spans="1:52" s="11" customFormat="1" ht="17.100000000000001" customHeight="1" thickBot="1" x14ac:dyDescent="0.3">
      <c r="A22" s="70">
        <v>6</v>
      </c>
      <c r="B22" s="73" t="s">
        <v>11</v>
      </c>
      <c r="C22" s="73"/>
      <c r="D22" s="72"/>
      <c r="E22" s="70"/>
      <c r="G22" s="70">
        <v>24</v>
      </c>
      <c r="H22" s="73" t="s">
        <v>60</v>
      </c>
      <c r="I22" s="73"/>
      <c r="J22" s="70"/>
      <c r="K22" s="70"/>
      <c r="M22" s="70"/>
      <c r="N22" s="73" t="s">
        <v>109</v>
      </c>
      <c r="O22" s="73"/>
      <c r="P22" s="70"/>
      <c r="Q22" s="70"/>
      <c r="T22" s="56"/>
      <c r="U22" s="32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</row>
    <row r="23" spans="1:52" s="11" customFormat="1" ht="17.100000000000001" customHeight="1" thickBot="1" x14ac:dyDescent="0.3">
      <c r="A23" s="70"/>
      <c r="B23" s="73" t="s">
        <v>12</v>
      </c>
      <c r="C23" s="73"/>
      <c r="D23" s="72"/>
      <c r="E23" s="70"/>
      <c r="G23" s="70"/>
      <c r="H23" s="73" t="s">
        <v>61</v>
      </c>
      <c r="I23" s="73"/>
      <c r="J23" s="70"/>
      <c r="K23" s="70"/>
      <c r="M23" s="70"/>
      <c r="N23" s="73" t="s">
        <v>110</v>
      </c>
      <c r="O23" s="73"/>
      <c r="P23" s="70"/>
      <c r="Q23" s="70"/>
      <c r="T23" s="56"/>
      <c r="U23" s="32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</row>
    <row r="24" spans="1:52" s="11" customFormat="1" ht="17.100000000000001" customHeight="1" thickBot="1" x14ac:dyDescent="0.3">
      <c r="A24" s="70">
        <v>7</v>
      </c>
      <c r="B24" s="73" t="s">
        <v>13</v>
      </c>
      <c r="C24" s="73"/>
      <c r="D24" s="70"/>
      <c r="E24" s="70"/>
      <c r="G24" s="70"/>
      <c r="H24" s="73" t="s">
        <v>62</v>
      </c>
      <c r="I24" s="73"/>
      <c r="J24" s="70"/>
      <c r="K24" s="70"/>
      <c r="M24" s="70"/>
      <c r="N24" s="73" t="s">
        <v>111</v>
      </c>
      <c r="O24" s="73"/>
      <c r="P24" s="70"/>
      <c r="Q24" s="70"/>
      <c r="T24" s="56"/>
      <c r="U24" s="32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</row>
    <row r="25" spans="1:52" s="11" customFormat="1" ht="17.100000000000001" customHeight="1" thickBot="1" x14ac:dyDescent="0.3">
      <c r="A25" s="70"/>
      <c r="B25" s="73" t="s">
        <v>14</v>
      </c>
      <c r="C25" s="73"/>
      <c r="D25" s="70"/>
      <c r="E25" s="70"/>
      <c r="G25" s="70">
        <v>25</v>
      </c>
      <c r="H25" s="73" t="s">
        <v>63</v>
      </c>
      <c r="I25" s="73"/>
      <c r="J25" s="70"/>
      <c r="K25" s="70"/>
      <c r="M25" s="70"/>
      <c r="N25" s="73" t="s">
        <v>112</v>
      </c>
      <c r="O25" s="73"/>
      <c r="P25" s="70"/>
      <c r="Q25" s="70"/>
      <c r="T25" s="56"/>
      <c r="U25" s="32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</row>
    <row r="26" spans="1:52" s="11" customFormat="1" ht="17.100000000000001" customHeight="1" thickBot="1" x14ac:dyDescent="0.3">
      <c r="A26" s="70">
        <v>8</v>
      </c>
      <c r="B26" s="73" t="s">
        <v>15</v>
      </c>
      <c r="C26" s="73"/>
      <c r="D26" s="70"/>
      <c r="E26" s="70"/>
      <c r="G26" s="70"/>
      <c r="H26" s="73" t="s">
        <v>64</v>
      </c>
      <c r="I26" s="73"/>
      <c r="J26" s="70"/>
      <c r="K26" s="70"/>
      <c r="M26" s="70"/>
      <c r="N26" s="73" t="s">
        <v>113</v>
      </c>
      <c r="O26" s="73"/>
      <c r="P26" s="70"/>
      <c r="Q26" s="70"/>
      <c r="T26" s="56"/>
      <c r="U26" s="32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</row>
    <row r="27" spans="1:52" s="11" customFormat="1" ht="17.100000000000001" customHeight="1" thickBot="1" x14ac:dyDescent="0.3">
      <c r="A27" s="70"/>
      <c r="B27" s="73" t="s">
        <v>16</v>
      </c>
      <c r="C27" s="73"/>
      <c r="D27" s="70"/>
      <c r="E27" s="70"/>
      <c r="G27" s="70"/>
      <c r="H27" s="73" t="s">
        <v>65</v>
      </c>
      <c r="I27" s="73"/>
      <c r="J27" s="70"/>
      <c r="K27" s="70"/>
      <c r="M27" s="70"/>
      <c r="N27" s="73" t="s">
        <v>114</v>
      </c>
      <c r="O27" s="73"/>
      <c r="P27" s="70"/>
      <c r="Q27" s="70"/>
      <c r="T27" s="56"/>
      <c r="U27" s="32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</row>
    <row r="28" spans="1:52" s="11" customFormat="1" ht="17.100000000000001" customHeight="1" thickBot="1" x14ac:dyDescent="0.3">
      <c r="A28" s="70">
        <v>9</v>
      </c>
      <c r="B28" s="73" t="s">
        <v>17</v>
      </c>
      <c r="C28" s="73"/>
      <c r="D28" s="70"/>
      <c r="E28" s="70"/>
      <c r="G28" s="70"/>
      <c r="H28" s="73" t="s">
        <v>66</v>
      </c>
      <c r="I28" s="73"/>
      <c r="J28" s="70"/>
      <c r="K28" s="70"/>
      <c r="M28" s="70"/>
      <c r="N28" s="73" t="s">
        <v>115</v>
      </c>
      <c r="O28" s="73"/>
      <c r="P28" s="70"/>
      <c r="Q28" s="70"/>
      <c r="T28" s="56"/>
      <c r="U28" s="32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</row>
    <row r="29" spans="1:52" s="11" customFormat="1" ht="17.100000000000001" customHeight="1" thickBot="1" x14ac:dyDescent="0.3">
      <c r="A29" s="70"/>
      <c r="B29" s="73" t="s">
        <v>18</v>
      </c>
      <c r="C29" s="73"/>
      <c r="D29" s="70"/>
      <c r="E29" s="70"/>
      <c r="G29" s="70"/>
      <c r="H29" s="73" t="s">
        <v>67</v>
      </c>
      <c r="I29" s="73"/>
      <c r="J29" s="70"/>
      <c r="K29" s="70"/>
      <c r="M29" s="70"/>
      <c r="N29" s="73" t="s">
        <v>116</v>
      </c>
      <c r="O29" s="73"/>
      <c r="P29" s="70"/>
      <c r="Q29" s="70"/>
      <c r="T29" s="56"/>
      <c r="U29" s="32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</row>
    <row r="30" spans="1:52" s="11" customFormat="1" ht="17.100000000000001" customHeight="1" thickBot="1" x14ac:dyDescent="0.3">
      <c r="A30" s="70">
        <v>10</v>
      </c>
      <c r="B30" s="73" t="s">
        <v>19</v>
      </c>
      <c r="C30" s="73"/>
      <c r="D30" s="70"/>
      <c r="E30" s="70"/>
      <c r="G30" s="70">
        <v>26</v>
      </c>
      <c r="H30" s="73" t="s">
        <v>68</v>
      </c>
      <c r="I30" s="73"/>
      <c r="J30" s="70"/>
      <c r="K30" s="70"/>
      <c r="M30" s="70"/>
      <c r="N30" s="73" t="s">
        <v>117</v>
      </c>
      <c r="O30" s="73"/>
      <c r="P30" s="70"/>
      <c r="Q30" s="70"/>
      <c r="T30" s="56"/>
      <c r="U30" s="32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52" s="11" customFormat="1" ht="17.100000000000001" customHeight="1" thickBot="1" x14ac:dyDescent="0.3">
      <c r="A31" s="70"/>
      <c r="B31" s="73" t="s">
        <v>20</v>
      </c>
      <c r="C31" s="73"/>
      <c r="D31" s="70"/>
      <c r="E31" s="70"/>
      <c r="G31" s="70"/>
      <c r="H31" s="73" t="s">
        <v>69</v>
      </c>
      <c r="I31" s="73"/>
      <c r="J31" s="70"/>
      <c r="K31" s="70"/>
      <c r="M31" s="70"/>
      <c r="N31" s="73" t="s">
        <v>118</v>
      </c>
      <c r="O31" s="73"/>
      <c r="P31" s="70"/>
      <c r="Q31" s="70"/>
      <c r="T31" s="56"/>
      <c r="U31" s="32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52" s="11" customFormat="1" ht="17.100000000000001" customHeight="1" thickBot="1" x14ac:dyDescent="0.3">
      <c r="A32" s="70">
        <v>11</v>
      </c>
      <c r="B32" s="73" t="s">
        <v>21</v>
      </c>
      <c r="C32" s="73"/>
      <c r="D32" s="72"/>
      <c r="E32" s="72"/>
      <c r="G32" s="70"/>
      <c r="H32" s="73" t="s">
        <v>70</v>
      </c>
      <c r="I32" s="73"/>
      <c r="J32" s="70"/>
      <c r="K32" s="70"/>
      <c r="M32" s="70"/>
      <c r="N32" s="73" t="s">
        <v>119</v>
      </c>
      <c r="O32" s="73"/>
      <c r="P32" s="70"/>
      <c r="Q32" s="70"/>
      <c r="T32" s="56"/>
      <c r="U32" s="32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 spans="1:52" s="11" customFormat="1" ht="17.100000000000001" customHeight="1" thickBot="1" x14ac:dyDescent="0.3">
      <c r="A33" s="70"/>
      <c r="B33" s="73" t="s">
        <v>22</v>
      </c>
      <c r="C33" s="73"/>
      <c r="D33" s="72"/>
      <c r="E33" s="72"/>
      <c r="G33" s="70"/>
      <c r="H33" s="73" t="s">
        <v>71</v>
      </c>
      <c r="I33" s="73"/>
      <c r="J33" s="70"/>
      <c r="K33" s="70"/>
      <c r="M33" s="70"/>
      <c r="N33" s="73" t="s">
        <v>120</v>
      </c>
      <c r="O33" s="73"/>
      <c r="P33" s="70"/>
      <c r="Q33" s="70"/>
      <c r="T33" s="56"/>
      <c r="U33" s="32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 spans="1:52" s="11" customFormat="1" ht="17.100000000000001" customHeight="1" thickBot="1" x14ac:dyDescent="0.3">
      <c r="A34" s="70"/>
      <c r="B34" s="73" t="s">
        <v>23</v>
      </c>
      <c r="C34" s="73"/>
      <c r="D34" s="72"/>
      <c r="E34" s="72"/>
      <c r="G34" s="70"/>
      <c r="H34" s="73" t="s">
        <v>72</v>
      </c>
      <c r="I34" s="73"/>
      <c r="J34" s="70"/>
      <c r="K34" s="70"/>
      <c r="M34" s="70"/>
      <c r="N34" s="73" t="s">
        <v>121</v>
      </c>
      <c r="O34" s="73"/>
      <c r="P34" s="70"/>
      <c r="Q34" s="70"/>
      <c r="T34" s="56"/>
      <c r="U34" s="32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</row>
    <row r="35" spans="1:52" s="11" customFormat="1" ht="17.100000000000001" customHeight="1" thickBot="1" x14ac:dyDescent="0.3">
      <c r="A35" s="70">
        <v>12</v>
      </c>
      <c r="B35" s="73" t="s">
        <v>24</v>
      </c>
      <c r="C35" s="73"/>
      <c r="D35" s="70"/>
      <c r="E35" s="70"/>
      <c r="G35" s="70"/>
      <c r="H35" s="73" t="s">
        <v>73</v>
      </c>
      <c r="I35" s="73"/>
      <c r="J35" s="70"/>
      <c r="K35" s="70"/>
      <c r="M35" s="70"/>
      <c r="N35" s="73" t="s">
        <v>122</v>
      </c>
      <c r="O35" s="73"/>
      <c r="P35" s="70"/>
      <c r="Q35" s="70"/>
      <c r="T35" s="56"/>
      <c r="U35" s="32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</row>
    <row r="36" spans="1:52" s="11" customFormat="1" ht="17.100000000000001" customHeight="1" thickBot="1" x14ac:dyDescent="0.3">
      <c r="A36" s="70"/>
      <c r="B36" s="73" t="s">
        <v>25</v>
      </c>
      <c r="C36" s="73"/>
      <c r="D36" s="70"/>
      <c r="E36" s="70"/>
      <c r="G36" s="70">
        <v>27</v>
      </c>
      <c r="H36" s="73" t="s">
        <v>74</v>
      </c>
      <c r="I36" s="73"/>
      <c r="J36" s="70"/>
      <c r="K36" s="70"/>
      <c r="M36" s="70"/>
      <c r="N36" s="73" t="s">
        <v>123</v>
      </c>
      <c r="O36" s="73"/>
      <c r="P36" s="70"/>
      <c r="Q36" s="70"/>
      <c r="T36" s="56"/>
      <c r="U36" s="32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</row>
    <row r="37" spans="1:52" s="11" customFormat="1" ht="17.100000000000001" customHeight="1" thickBot="1" x14ac:dyDescent="0.3">
      <c r="A37" s="70">
        <v>13</v>
      </c>
      <c r="B37" s="73" t="s">
        <v>26</v>
      </c>
      <c r="C37" s="73"/>
      <c r="D37" s="72"/>
      <c r="E37" s="72"/>
      <c r="G37" s="70"/>
      <c r="H37" s="73" t="s">
        <v>75</v>
      </c>
      <c r="I37" s="73"/>
      <c r="J37" s="70"/>
      <c r="K37" s="70"/>
      <c r="M37" s="70"/>
      <c r="N37" s="73" t="s">
        <v>124</v>
      </c>
      <c r="O37" s="73"/>
      <c r="P37" s="70"/>
      <c r="Q37" s="70"/>
      <c r="T37" s="56"/>
      <c r="U37" s="32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</row>
    <row r="38" spans="1:52" s="11" customFormat="1" ht="17.100000000000001" customHeight="1" thickBot="1" x14ac:dyDescent="0.3">
      <c r="A38" s="70"/>
      <c r="B38" s="73" t="s">
        <v>27</v>
      </c>
      <c r="C38" s="73"/>
      <c r="D38" s="72"/>
      <c r="E38" s="72"/>
      <c r="G38" s="70"/>
      <c r="H38" s="73" t="s">
        <v>76</v>
      </c>
      <c r="I38" s="73"/>
      <c r="J38" s="70"/>
      <c r="K38" s="70"/>
      <c r="M38" s="70"/>
      <c r="N38" s="73" t="s">
        <v>125</v>
      </c>
      <c r="O38" s="73"/>
      <c r="P38" s="70"/>
      <c r="Q38" s="70"/>
      <c r="T38" s="56"/>
      <c r="U38" s="32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</row>
    <row r="39" spans="1:52" s="11" customFormat="1" ht="17.100000000000001" customHeight="1" thickBot="1" x14ac:dyDescent="0.3">
      <c r="A39" s="70"/>
      <c r="B39" s="73" t="s">
        <v>28</v>
      </c>
      <c r="C39" s="73"/>
      <c r="D39" s="72"/>
      <c r="E39" s="72"/>
      <c r="G39" s="70"/>
      <c r="H39" s="73" t="s">
        <v>77</v>
      </c>
      <c r="I39" s="73"/>
      <c r="J39" s="70"/>
      <c r="K39" s="70"/>
      <c r="M39" s="70"/>
      <c r="N39" s="73" t="s">
        <v>126</v>
      </c>
      <c r="O39" s="73"/>
      <c r="P39" s="70"/>
      <c r="Q39" s="70"/>
      <c r="T39" s="56"/>
      <c r="U39" s="32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 spans="1:52" s="11" customFormat="1" ht="17.100000000000001" customHeight="1" thickBot="1" x14ac:dyDescent="0.3">
      <c r="A40" s="70">
        <v>14</v>
      </c>
      <c r="B40" s="73" t="s">
        <v>29</v>
      </c>
      <c r="C40" s="73"/>
      <c r="D40" s="70"/>
      <c r="E40" s="70"/>
      <c r="G40" s="70"/>
      <c r="H40" s="73" t="s">
        <v>78</v>
      </c>
      <c r="I40" s="73"/>
      <c r="J40" s="70"/>
      <c r="K40" s="70"/>
      <c r="M40" s="70"/>
      <c r="N40" s="73" t="s">
        <v>127</v>
      </c>
      <c r="O40" s="73"/>
      <c r="P40" s="70"/>
      <c r="Q40" s="70"/>
      <c r="T40" s="56"/>
      <c r="U40" s="32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</row>
    <row r="41" spans="1:52" s="11" customFormat="1" ht="17.100000000000001" customHeight="1" thickBot="1" x14ac:dyDescent="0.3">
      <c r="A41" s="70"/>
      <c r="B41" s="73" t="s">
        <v>30</v>
      </c>
      <c r="C41" s="73"/>
      <c r="D41" s="70"/>
      <c r="E41" s="70"/>
      <c r="G41" s="70"/>
      <c r="H41" s="73" t="s">
        <v>79</v>
      </c>
      <c r="I41" s="73"/>
      <c r="J41" s="70"/>
      <c r="K41" s="70"/>
      <c r="M41" s="70"/>
      <c r="N41" s="73" t="s">
        <v>128</v>
      </c>
      <c r="O41" s="73"/>
      <c r="P41" s="70"/>
      <c r="Q41" s="70"/>
      <c r="T41" s="56"/>
      <c r="U41" s="32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  <row r="42" spans="1:52" s="11" customFormat="1" ht="17.100000000000001" customHeight="1" thickBot="1" x14ac:dyDescent="0.3">
      <c r="A42" s="70">
        <v>15</v>
      </c>
      <c r="B42" s="73" t="s">
        <v>31</v>
      </c>
      <c r="C42" s="73"/>
      <c r="D42" s="70"/>
      <c r="E42" s="70"/>
      <c r="G42" s="70"/>
      <c r="H42" s="73" t="s">
        <v>80</v>
      </c>
      <c r="I42" s="73"/>
      <c r="J42" s="70"/>
      <c r="K42" s="70"/>
      <c r="M42" s="70"/>
      <c r="N42" s="73" t="s">
        <v>129</v>
      </c>
      <c r="O42" s="73"/>
      <c r="P42" s="70"/>
      <c r="Q42" s="70"/>
      <c r="T42" s="56"/>
      <c r="U42" s="32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</row>
    <row r="43" spans="1:52" s="11" customFormat="1" ht="17.100000000000001" customHeight="1" thickBot="1" x14ac:dyDescent="0.3">
      <c r="A43" s="70"/>
      <c r="B43" s="73" t="s">
        <v>32</v>
      </c>
      <c r="C43" s="73"/>
      <c r="D43" s="70"/>
      <c r="E43" s="70"/>
      <c r="G43" s="70">
        <v>28</v>
      </c>
      <c r="H43" s="73" t="s">
        <v>81</v>
      </c>
      <c r="I43" s="73"/>
      <c r="J43" s="70"/>
      <c r="K43" s="70"/>
      <c r="M43" s="70"/>
      <c r="N43" s="73" t="s">
        <v>130</v>
      </c>
      <c r="O43" s="73"/>
      <c r="P43" s="70"/>
      <c r="Q43" s="70"/>
      <c r="T43" s="56"/>
      <c r="U43" s="32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</row>
    <row r="44" spans="1:52" s="11" customFormat="1" ht="17.100000000000001" customHeight="1" thickBot="1" x14ac:dyDescent="0.3">
      <c r="A44" s="70">
        <v>16</v>
      </c>
      <c r="B44" s="73" t="s">
        <v>33</v>
      </c>
      <c r="C44" s="73"/>
      <c r="D44" s="72"/>
      <c r="E44" s="72"/>
      <c r="G44" s="70"/>
      <c r="H44" s="73" t="s">
        <v>82</v>
      </c>
      <c r="I44" s="73"/>
      <c r="J44" s="70"/>
      <c r="K44" s="70"/>
      <c r="M44" s="70"/>
      <c r="N44" s="73" t="s">
        <v>131</v>
      </c>
      <c r="O44" s="73"/>
      <c r="P44" s="70"/>
      <c r="Q44" s="70"/>
      <c r="T44" s="56"/>
      <c r="U44" s="32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</row>
    <row r="45" spans="1:52" s="11" customFormat="1" ht="17.100000000000001" customHeight="1" thickBot="1" x14ac:dyDescent="0.3">
      <c r="A45" s="70"/>
      <c r="B45" s="73" t="s">
        <v>34</v>
      </c>
      <c r="C45" s="73"/>
      <c r="D45" s="72"/>
      <c r="E45" s="72"/>
      <c r="G45" s="70"/>
      <c r="H45" s="73" t="s">
        <v>83</v>
      </c>
      <c r="I45" s="73"/>
      <c r="J45" s="70"/>
      <c r="K45" s="70"/>
      <c r="M45" s="70"/>
      <c r="N45" s="73" t="s">
        <v>132</v>
      </c>
      <c r="O45" s="73"/>
      <c r="P45" s="70"/>
      <c r="Q45" s="70"/>
      <c r="T45" s="56"/>
      <c r="U45" s="32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</row>
    <row r="46" spans="1:52" s="11" customFormat="1" ht="17.100000000000001" customHeight="1" thickBot="1" x14ac:dyDescent="0.3">
      <c r="A46" s="70"/>
      <c r="B46" s="73" t="s">
        <v>35</v>
      </c>
      <c r="C46" s="73"/>
      <c r="D46" s="72"/>
      <c r="E46" s="72"/>
      <c r="G46" s="70"/>
      <c r="H46" s="73" t="s">
        <v>84</v>
      </c>
      <c r="I46" s="73"/>
      <c r="J46" s="70"/>
      <c r="K46" s="70"/>
      <c r="M46" s="70"/>
      <c r="N46" s="73" t="s">
        <v>133</v>
      </c>
      <c r="O46" s="73"/>
      <c r="P46" s="70"/>
      <c r="Q46" s="70"/>
      <c r="T46" s="56"/>
      <c r="U46" s="32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</row>
    <row r="47" spans="1:52" s="11" customFormat="1" ht="17.100000000000001" customHeight="1" thickBot="1" x14ac:dyDescent="0.3">
      <c r="A47" s="70">
        <v>17</v>
      </c>
      <c r="B47" s="73" t="s">
        <v>36</v>
      </c>
      <c r="C47" s="73"/>
      <c r="D47" s="70"/>
      <c r="E47" s="70"/>
      <c r="G47" s="70"/>
      <c r="H47" s="73" t="s">
        <v>85</v>
      </c>
      <c r="I47" s="73"/>
      <c r="J47" s="70"/>
      <c r="K47" s="70"/>
      <c r="M47" s="70"/>
      <c r="N47" s="73" t="s">
        <v>134</v>
      </c>
      <c r="O47" s="73"/>
      <c r="P47" s="70"/>
      <c r="Q47" s="70"/>
      <c r="T47" s="56"/>
      <c r="U47" s="32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</row>
    <row r="48" spans="1:52" s="11" customFormat="1" ht="17.100000000000001" customHeight="1" thickBot="1" x14ac:dyDescent="0.3">
      <c r="A48" s="70"/>
      <c r="B48" s="73" t="s">
        <v>37</v>
      </c>
      <c r="C48" s="73"/>
      <c r="D48" s="70"/>
      <c r="E48" s="70"/>
      <c r="G48" s="70"/>
      <c r="H48" s="73" t="s">
        <v>86</v>
      </c>
      <c r="I48" s="73"/>
      <c r="J48" s="70"/>
      <c r="K48" s="70"/>
      <c r="M48" s="70"/>
      <c r="N48" s="73" t="s">
        <v>135</v>
      </c>
      <c r="O48" s="73"/>
      <c r="P48" s="70"/>
      <c r="Q48" s="70"/>
      <c r="T48" s="56"/>
      <c r="U48" s="32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</row>
    <row r="49" spans="1:52" s="11" customFormat="1" ht="17.100000000000001" customHeight="1" thickBot="1" x14ac:dyDescent="0.3">
      <c r="A49" s="70">
        <v>18</v>
      </c>
      <c r="B49" s="73" t="s">
        <v>38</v>
      </c>
      <c r="C49" s="73"/>
      <c r="D49" s="72"/>
      <c r="E49" s="72"/>
      <c r="G49" s="70"/>
      <c r="H49" s="73" t="s">
        <v>87</v>
      </c>
      <c r="I49" s="73"/>
      <c r="J49" s="70"/>
      <c r="K49" s="70"/>
      <c r="M49" s="70"/>
      <c r="N49" s="73" t="s">
        <v>136</v>
      </c>
      <c r="O49" s="73"/>
      <c r="P49" s="70"/>
      <c r="Q49" s="70"/>
      <c r="T49" s="56"/>
      <c r="U49" s="32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</row>
    <row r="50" spans="1:52" s="11" customFormat="1" ht="17.100000000000001" customHeight="1" thickBot="1" x14ac:dyDescent="0.3">
      <c r="A50" s="70"/>
      <c r="B50" s="73" t="s">
        <v>39</v>
      </c>
      <c r="C50" s="73"/>
      <c r="D50" s="72"/>
      <c r="E50" s="72"/>
      <c r="G50" s="70"/>
      <c r="H50" s="73" t="s">
        <v>88</v>
      </c>
      <c r="I50" s="73"/>
      <c r="J50" s="70"/>
      <c r="K50" s="70"/>
      <c r="M50" s="71"/>
      <c r="N50" s="84" t="s">
        <v>137</v>
      </c>
      <c r="O50" s="84"/>
      <c r="P50" s="71"/>
      <c r="Q50" s="71"/>
      <c r="T50" s="56"/>
      <c r="U50" s="32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</row>
    <row r="51" spans="1:52" s="11" customFormat="1" ht="17.100000000000001" customHeight="1" thickTop="1" thickBot="1" x14ac:dyDescent="0.3">
      <c r="A51" s="70"/>
      <c r="B51" s="73" t="s">
        <v>41</v>
      </c>
      <c r="C51" s="73"/>
      <c r="D51" s="72"/>
      <c r="E51" s="72"/>
      <c r="G51" s="70"/>
      <c r="H51" s="73" t="s">
        <v>89</v>
      </c>
      <c r="I51" s="73"/>
      <c r="J51" s="70"/>
      <c r="K51" s="70"/>
      <c r="M51" s="74" t="s">
        <v>145</v>
      </c>
      <c r="N51" s="74"/>
      <c r="O51" s="74"/>
      <c r="P51" s="82">
        <f>AZ14</f>
        <v>85</v>
      </c>
      <c r="Q51" s="82">
        <f>AZ15</f>
        <v>65</v>
      </c>
      <c r="T51" s="56"/>
      <c r="U51" s="32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</row>
    <row r="52" spans="1:52" s="11" customFormat="1" ht="17.100000000000001" customHeight="1" thickBot="1" x14ac:dyDescent="0.3">
      <c r="A52" s="70">
        <v>19</v>
      </c>
      <c r="B52" s="73" t="s">
        <v>42</v>
      </c>
      <c r="C52" s="73"/>
      <c r="D52" s="72"/>
      <c r="E52" s="72"/>
      <c r="G52" s="70">
        <v>29</v>
      </c>
      <c r="H52" s="73" t="s">
        <v>90</v>
      </c>
      <c r="I52" s="73"/>
      <c r="J52" s="70">
        <v>85</v>
      </c>
      <c r="K52" s="70">
        <v>65</v>
      </c>
      <c r="M52" s="75"/>
      <c r="N52" s="75"/>
      <c r="O52" s="75"/>
      <c r="P52" s="83"/>
      <c r="Q52" s="83"/>
      <c r="T52" s="56"/>
      <c r="U52" s="32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</row>
    <row r="53" spans="1:52" s="11" customFormat="1" ht="17.100000000000001" customHeight="1" thickBot="1" x14ac:dyDescent="0.3">
      <c r="A53" s="70"/>
      <c r="B53" s="73" t="s">
        <v>40</v>
      </c>
      <c r="C53" s="73"/>
      <c r="D53" s="72"/>
      <c r="E53" s="72"/>
      <c r="G53" s="70"/>
      <c r="H53" s="73" t="s">
        <v>91</v>
      </c>
      <c r="I53" s="73"/>
      <c r="J53" s="70"/>
      <c r="K53" s="70"/>
      <c r="M53" s="39" t="s">
        <v>163</v>
      </c>
      <c r="N53" s="13"/>
      <c r="P53" s="56"/>
      <c r="Q53" s="56"/>
      <c r="T53" s="56"/>
      <c r="U53" s="32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</row>
    <row r="54" spans="1:52" s="11" customFormat="1" ht="17.100000000000001" customHeight="1" thickBot="1" x14ac:dyDescent="0.3">
      <c r="A54" s="70"/>
      <c r="B54" s="73" t="s">
        <v>43</v>
      </c>
      <c r="C54" s="73"/>
      <c r="D54" s="72"/>
      <c r="E54" s="72"/>
      <c r="G54" s="70"/>
      <c r="H54" s="73" t="s">
        <v>92</v>
      </c>
      <c r="I54" s="73"/>
      <c r="J54" s="70"/>
      <c r="K54" s="70"/>
      <c r="M54" s="12"/>
      <c r="N54" s="15"/>
      <c r="P54" s="56"/>
      <c r="Q54" s="56"/>
      <c r="T54" s="56"/>
      <c r="U54" s="32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</row>
    <row r="55" spans="1:52" s="11" customFormat="1" ht="17.100000000000001" customHeight="1" thickBot="1" x14ac:dyDescent="0.45">
      <c r="A55" s="70">
        <v>20</v>
      </c>
      <c r="B55" s="73" t="s">
        <v>44</v>
      </c>
      <c r="C55" s="73"/>
      <c r="D55" s="72"/>
      <c r="E55" s="72"/>
      <c r="G55" s="70"/>
      <c r="H55" s="73" t="s">
        <v>93</v>
      </c>
      <c r="I55" s="73"/>
      <c r="J55" s="70"/>
      <c r="K55" s="70"/>
      <c r="M55" s="85" t="s">
        <v>175</v>
      </c>
      <c r="N55" s="85"/>
      <c r="O55" s="85"/>
      <c r="P55" s="85"/>
      <c r="Q55" s="85"/>
      <c r="T55" s="56"/>
      <c r="U55" s="32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</row>
    <row r="56" spans="1:52" s="11" customFormat="1" ht="17.100000000000001" customHeight="1" thickBot="1" x14ac:dyDescent="0.45">
      <c r="A56" s="70"/>
      <c r="B56" s="73" t="s">
        <v>45</v>
      </c>
      <c r="C56" s="73"/>
      <c r="D56" s="72"/>
      <c r="E56" s="72"/>
      <c r="G56" s="70"/>
      <c r="H56" s="73" t="s">
        <v>94</v>
      </c>
      <c r="I56" s="73"/>
      <c r="J56" s="70"/>
      <c r="K56" s="70"/>
      <c r="M56" s="85" t="s">
        <v>196</v>
      </c>
      <c r="N56" s="85"/>
      <c r="O56" s="85"/>
      <c r="P56" s="85"/>
      <c r="Q56" s="85"/>
      <c r="T56" s="56"/>
      <c r="U56" s="32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</row>
    <row r="57" spans="1:52" s="11" customFormat="1" ht="17.100000000000001" customHeight="1" thickBot="1" x14ac:dyDescent="0.3">
      <c r="A57" s="70"/>
      <c r="B57" s="73" t="s">
        <v>46</v>
      </c>
      <c r="C57" s="73"/>
      <c r="D57" s="72"/>
      <c r="E57" s="72"/>
      <c r="G57" s="70"/>
      <c r="H57" s="73" t="s">
        <v>95</v>
      </c>
      <c r="I57" s="73"/>
      <c r="J57" s="70"/>
      <c r="K57" s="70"/>
      <c r="M57" s="12"/>
      <c r="N57" s="15"/>
      <c r="P57" s="61"/>
      <c r="Q57" s="61"/>
      <c r="T57" s="56"/>
      <c r="U57" s="32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</row>
    <row r="58" spans="1:52" s="11" customFormat="1" ht="17.100000000000001" customHeight="1" thickBot="1" x14ac:dyDescent="0.3">
      <c r="A58" s="70">
        <v>21</v>
      </c>
      <c r="B58" s="73" t="s">
        <v>47</v>
      </c>
      <c r="C58" s="73"/>
      <c r="D58" s="72"/>
      <c r="E58" s="72"/>
      <c r="G58" s="70"/>
      <c r="H58" s="73" t="s">
        <v>96</v>
      </c>
      <c r="I58" s="73"/>
      <c r="J58" s="70"/>
      <c r="K58" s="70"/>
      <c r="M58" s="86" t="s">
        <v>174</v>
      </c>
      <c r="N58" s="86"/>
      <c r="O58" s="86"/>
      <c r="P58" s="86"/>
      <c r="Q58" s="86"/>
      <c r="T58" s="56"/>
      <c r="U58" s="32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</row>
    <row r="59" spans="1:52" s="11" customFormat="1" ht="17.100000000000001" customHeight="1" thickBot="1" x14ac:dyDescent="0.3">
      <c r="A59" s="70"/>
      <c r="B59" s="73" t="s">
        <v>48</v>
      </c>
      <c r="C59" s="73"/>
      <c r="D59" s="72"/>
      <c r="E59" s="72"/>
      <c r="G59" s="70"/>
      <c r="H59" s="73" t="s">
        <v>97</v>
      </c>
      <c r="I59" s="73"/>
      <c r="J59" s="70"/>
      <c r="K59" s="70"/>
      <c r="M59" s="86"/>
      <c r="N59" s="86"/>
      <c r="O59" s="86"/>
      <c r="P59" s="86"/>
      <c r="Q59" s="86"/>
      <c r="T59" s="56"/>
      <c r="U59" s="32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</row>
    <row r="60" spans="1:52" s="11" customFormat="1" ht="17.100000000000001" customHeight="1" thickBot="1" x14ac:dyDescent="0.3">
      <c r="A60" s="70"/>
      <c r="B60" s="73" t="s">
        <v>49</v>
      </c>
      <c r="C60" s="73"/>
      <c r="D60" s="72"/>
      <c r="E60" s="72"/>
      <c r="G60" s="70"/>
      <c r="H60" s="73" t="s">
        <v>98</v>
      </c>
      <c r="I60" s="73"/>
      <c r="J60" s="70"/>
      <c r="K60" s="70"/>
      <c r="M60" s="68"/>
      <c r="N60" s="69"/>
      <c r="O60" s="69"/>
      <c r="P60" s="68"/>
      <c r="Q60" s="68"/>
      <c r="T60" s="56"/>
      <c r="U60" s="32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</row>
    <row r="61" spans="1:52" s="11" customFormat="1" ht="17.100000000000001" customHeight="1" thickBot="1" x14ac:dyDescent="0.3">
      <c r="A61" s="70"/>
      <c r="B61" s="73" t="s">
        <v>50</v>
      </c>
      <c r="C61" s="73"/>
      <c r="D61" s="72"/>
      <c r="E61" s="72"/>
      <c r="G61" s="70"/>
      <c r="H61" s="73" t="s">
        <v>99</v>
      </c>
      <c r="I61" s="73"/>
      <c r="J61" s="70"/>
      <c r="K61" s="70"/>
      <c r="M61" s="68"/>
      <c r="N61" s="69"/>
      <c r="O61" s="69"/>
      <c r="P61" s="68"/>
      <c r="Q61" s="68"/>
      <c r="T61" s="56"/>
      <c r="U61" s="32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</row>
    <row r="62" spans="1:52" s="11" customFormat="1" ht="17.100000000000001" customHeight="1" thickBot="1" x14ac:dyDescent="0.3">
      <c r="A62" s="70"/>
      <c r="B62" s="73" t="s">
        <v>51</v>
      </c>
      <c r="C62" s="73"/>
      <c r="D62" s="72"/>
      <c r="E62" s="72"/>
      <c r="G62" s="70"/>
      <c r="H62" s="73" t="s">
        <v>100</v>
      </c>
      <c r="I62" s="73"/>
      <c r="J62" s="70"/>
      <c r="K62" s="70"/>
      <c r="M62" s="87" t="s">
        <v>177</v>
      </c>
      <c r="N62" s="87"/>
      <c r="O62" s="87"/>
      <c r="P62" s="87"/>
      <c r="Q62" s="87"/>
      <c r="T62" s="56"/>
      <c r="U62" s="32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</row>
    <row r="63" spans="1:52" ht="6" customHeight="1" x14ac:dyDescent="0.25">
      <c r="M63" s="61"/>
      <c r="N63" s="61"/>
      <c r="O63" s="61"/>
      <c r="P63" s="61"/>
      <c r="Q63" s="61"/>
    </row>
    <row r="64" spans="1:52" x14ac:dyDescent="0.25">
      <c r="B64" s="4"/>
      <c r="E64" s="18"/>
      <c r="F64" s="3"/>
      <c r="H64" s="2"/>
      <c r="M64" s="61"/>
      <c r="P64" s="61"/>
      <c r="Q64" s="61"/>
    </row>
    <row r="65" spans="2:8" x14ac:dyDescent="0.25">
      <c r="B65" s="2"/>
      <c r="H65" s="2"/>
    </row>
    <row r="66" spans="2:8" x14ac:dyDescent="0.25">
      <c r="B66" s="2"/>
      <c r="H66" s="2"/>
    </row>
  </sheetData>
  <mergeCells count="250">
    <mergeCell ref="B54:C54"/>
    <mergeCell ref="H54:I54"/>
    <mergeCell ref="H60:I60"/>
    <mergeCell ref="B61:C61"/>
    <mergeCell ref="H61:I61"/>
    <mergeCell ref="B62:C62"/>
    <mergeCell ref="H62:I62"/>
    <mergeCell ref="M62:Q62"/>
    <mergeCell ref="A58:A62"/>
    <mergeCell ref="B58:C58"/>
    <mergeCell ref="D58:D62"/>
    <mergeCell ref="E58:E62"/>
    <mergeCell ref="H58:I58"/>
    <mergeCell ref="M58:Q58"/>
    <mergeCell ref="B59:C59"/>
    <mergeCell ref="H59:I59"/>
    <mergeCell ref="M59:Q59"/>
    <mergeCell ref="B60:C60"/>
    <mergeCell ref="A55:A57"/>
    <mergeCell ref="B55:C55"/>
    <mergeCell ref="D55:D57"/>
    <mergeCell ref="E55:E57"/>
    <mergeCell ref="H55:I55"/>
    <mergeCell ref="Q51:Q52"/>
    <mergeCell ref="A52:A54"/>
    <mergeCell ref="B52:C52"/>
    <mergeCell ref="D52:D54"/>
    <mergeCell ref="E52:E54"/>
    <mergeCell ref="G52:G62"/>
    <mergeCell ref="H52:I52"/>
    <mergeCell ref="J52:J62"/>
    <mergeCell ref="K52:K62"/>
    <mergeCell ref="B53:C53"/>
    <mergeCell ref="A49:A51"/>
    <mergeCell ref="Q14:Q50"/>
    <mergeCell ref="M55:Q55"/>
    <mergeCell ref="B56:C56"/>
    <mergeCell ref="H56:I56"/>
    <mergeCell ref="M56:Q56"/>
    <mergeCell ref="B57:C57"/>
    <mergeCell ref="H57:I57"/>
    <mergeCell ref="H53:I53"/>
    <mergeCell ref="B51:C51"/>
    <mergeCell ref="H51:I51"/>
    <mergeCell ref="M51:O52"/>
    <mergeCell ref="P51:P52"/>
    <mergeCell ref="B48:C48"/>
    <mergeCell ref="P14:P50"/>
    <mergeCell ref="B15:C15"/>
    <mergeCell ref="H15:I15"/>
    <mergeCell ref="B16:C16"/>
    <mergeCell ref="H16:I16"/>
    <mergeCell ref="H46:I46"/>
    <mergeCell ref="N46:O46"/>
    <mergeCell ref="H43:I43"/>
    <mergeCell ref="J43:J51"/>
    <mergeCell ref="N39:O39"/>
    <mergeCell ref="B46:C46"/>
    <mergeCell ref="E35:E36"/>
    <mergeCell ref="H35:I35"/>
    <mergeCell ref="N35:O35"/>
    <mergeCell ref="B36:C36"/>
    <mergeCell ref="N32:O32"/>
    <mergeCell ref="H50:I50"/>
    <mergeCell ref="N50:O50"/>
    <mergeCell ref="B43:C43"/>
    <mergeCell ref="G43:G51"/>
    <mergeCell ref="H48:I48"/>
    <mergeCell ref="N48:O48"/>
    <mergeCell ref="B49:C49"/>
    <mergeCell ref="D49:D51"/>
    <mergeCell ref="E49:E51"/>
    <mergeCell ref="H49:I49"/>
    <mergeCell ref="N49:O49"/>
    <mergeCell ref="B50:C50"/>
    <mergeCell ref="N40:O40"/>
    <mergeCell ref="B41:C41"/>
    <mergeCell ref="H41:I41"/>
    <mergeCell ref="N41:O41"/>
    <mergeCell ref="A47:A48"/>
    <mergeCell ref="B47:C47"/>
    <mergeCell ref="D47:D48"/>
    <mergeCell ref="E47:E48"/>
    <mergeCell ref="H47:I47"/>
    <mergeCell ref="N47:O47"/>
    <mergeCell ref="K43:K51"/>
    <mergeCell ref="N43:O43"/>
    <mergeCell ref="A44:A46"/>
    <mergeCell ref="B44:C44"/>
    <mergeCell ref="D44:D46"/>
    <mergeCell ref="E44:E46"/>
    <mergeCell ref="H44:I44"/>
    <mergeCell ref="N44:O44"/>
    <mergeCell ref="B45:C45"/>
    <mergeCell ref="H45:I45"/>
    <mergeCell ref="A42:A43"/>
    <mergeCell ref="B42:C42"/>
    <mergeCell ref="D42:D43"/>
    <mergeCell ref="E42:E43"/>
    <mergeCell ref="A37:A39"/>
    <mergeCell ref="B37:C37"/>
    <mergeCell ref="D37:D39"/>
    <mergeCell ref="E37:E39"/>
    <mergeCell ref="H37:I37"/>
    <mergeCell ref="N37:O37"/>
    <mergeCell ref="B38:C38"/>
    <mergeCell ref="H38:I38"/>
    <mergeCell ref="N45:O45"/>
    <mergeCell ref="N38:O38"/>
    <mergeCell ref="B39:C39"/>
    <mergeCell ref="G36:G42"/>
    <mergeCell ref="H36:I36"/>
    <mergeCell ref="J36:J42"/>
    <mergeCell ref="K36:K42"/>
    <mergeCell ref="N36:O36"/>
    <mergeCell ref="H39:I39"/>
    <mergeCell ref="H42:I42"/>
    <mergeCell ref="N42:O42"/>
    <mergeCell ref="A40:A41"/>
    <mergeCell ref="B40:C40"/>
    <mergeCell ref="D40:D41"/>
    <mergeCell ref="E40:E41"/>
    <mergeCell ref="H40:I40"/>
    <mergeCell ref="N33:O33"/>
    <mergeCell ref="B34:C34"/>
    <mergeCell ref="H34:I34"/>
    <mergeCell ref="N34:O34"/>
    <mergeCell ref="J30:J35"/>
    <mergeCell ref="K30:K35"/>
    <mergeCell ref="N30:O30"/>
    <mergeCell ref="B31:C31"/>
    <mergeCell ref="H31:I31"/>
    <mergeCell ref="N31:O31"/>
    <mergeCell ref="B32:C32"/>
    <mergeCell ref="D32:D34"/>
    <mergeCell ref="E32:E34"/>
    <mergeCell ref="H32:I32"/>
    <mergeCell ref="A30:A31"/>
    <mergeCell ref="B30:C30"/>
    <mergeCell ref="D30:D31"/>
    <mergeCell ref="E30:E31"/>
    <mergeCell ref="G30:G35"/>
    <mergeCell ref="H30:I30"/>
    <mergeCell ref="A32:A34"/>
    <mergeCell ref="A35:A36"/>
    <mergeCell ref="B35:C35"/>
    <mergeCell ref="D35:D36"/>
    <mergeCell ref="B33:C33"/>
    <mergeCell ref="H33:I33"/>
    <mergeCell ref="A26:A27"/>
    <mergeCell ref="B26:C26"/>
    <mergeCell ref="D26:D27"/>
    <mergeCell ref="E26:E27"/>
    <mergeCell ref="H26:I26"/>
    <mergeCell ref="N26:O26"/>
    <mergeCell ref="B27:C27"/>
    <mergeCell ref="H27:I27"/>
    <mergeCell ref="N27:O27"/>
    <mergeCell ref="G25:G29"/>
    <mergeCell ref="H25:I25"/>
    <mergeCell ref="J25:J29"/>
    <mergeCell ref="K25:K29"/>
    <mergeCell ref="N25:O25"/>
    <mergeCell ref="A28:A29"/>
    <mergeCell ref="B28:C28"/>
    <mergeCell ref="D28:D29"/>
    <mergeCell ref="E28:E29"/>
    <mergeCell ref="H28:I28"/>
    <mergeCell ref="N28:O28"/>
    <mergeCell ref="B29:C29"/>
    <mergeCell ref="H29:I29"/>
    <mergeCell ref="N29:O29"/>
    <mergeCell ref="B21:C21"/>
    <mergeCell ref="H21:I21"/>
    <mergeCell ref="N21:O21"/>
    <mergeCell ref="A22:A23"/>
    <mergeCell ref="B22:C22"/>
    <mergeCell ref="D22:D23"/>
    <mergeCell ref="E22:E23"/>
    <mergeCell ref="G22:G24"/>
    <mergeCell ref="H22:I22"/>
    <mergeCell ref="J22:J24"/>
    <mergeCell ref="N24:O24"/>
    <mergeCell ref="K22:K24"/>
    <mergeCell ref="N22:O22"/>
    <mergeCell ref="B23:C23"/>
    <mergeCell ref="H23:I23"/>
    <mergeCell ref="N23:O23"/>
    <mergeCell ref="A24:A25"/>
    <mergeCell ref="B24:C24"/>
    <mergeCell ref="D24:D25"/>
    <mergeCell ref="E24:E25"/>
    <mergeCell ref="H24:I24"/>
    <mergeCell ref="B25:C25"/>
    <mergeCell ref="A19:A20"/>
    <mergeCell ref="B19:C19"/>
    <mergeCell ref="D19:D20"/>
    <mergeCell ref="E19:E20"/>
    <mergeCell ref="H19:I19"/>
    <mergeCell ref="N19:O19"/>
    <mergeCell ref="B20:C20"/>
    <mergeCell ref="H20:I20"/>
    <mergeCell ref="N20:O20"/>
    <mergeCell ref="A17:A18"/>
    <mergeCell ref="B17:C17"/>
    <mergeCell ref="D17:D18"/>
    <mergeCell ref="E17:E18"/>
    <mergeCell ref="H17:I17"/>
    <mergeCell ref="N17:O17"/>
    <mergeCell ref="B18:C18"/>
    <mergeCell ref="G18:G21"/>
    <mergeCell ref="H18:I18"/>
    <mergeCell ref="J18:J21"/>
    <mergeCell ref="J14:J17"/>
    <mergeCell ref="K14:K17"/>
    <mergeCell ref="M14:M50"/>
    <mergeCell ref="N14:O14"/>
    <mergeCell ref="N15:O15"/>
    <mergeCell ref="N16:O16"/>
    <mergeCell ref="K18:K21"/>
    <mergeCell ref="N18:O18"/>
    <mergeCell ref="A14:A15"/>
    <mergeCell ref="B14:C14"/>
    <mergeCell ref="D14:D15"/>
    <mergeCell ref="E14:E15"/>
    <mergeCell ref="G14:G17"/>
    <mergeCell ref="H14:I14"/>
    <mergeCell ref="U11:U12"/>
    <mergeCell ref="V11:AY11"/>
    <mergeCell ref="AZ11:AZ12"/>
    <mergeCell ref="A8:B8"/>
    <mergeCell ref="M8:N8"/>
    <mergeCell ref="A9:B9"/>
    <mergeCell ref="M9:N9"/>
    <mergeCell ref="A11:A12"/>
    <mergeCell ref="B11:C12"/>
    <mergeCell ref="D11:E11"/>
    <mergeCell ref="G11:G12"/>
    <mergeCell ref="H11:I12"/>
    <mergeCell ref="J11:K11"/>
    <mergeCell ref="A1:Q1"/>
    <mergeCell ref="A2:Q2"/>
    <mergeCell ref="A3:Q3"/>
    <mergeCell ref="A4:Q4"/>
    <mergeCell ref="A6:Q6"/>
    <mergeCell ref="A7:B7"/>
    <mergeCell ref="M7:N7"/>
    <mergeCell ref="M11:M12"/>
    <mergeCell ref="N11:O12"/>
    <mergeCell ref="P11:Q11"/>
  </mergeCells>
  <pageMargins left="0.35" right="0.25" top="0.31" bottom="0.74803149606299213" header="0.31496062992125984" footer="0.31496062992125984"/>
  <pageSetup paperSize="5" scale="85" orientation="portrait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6"/>
  <sheetViews>
    <sheetView topLeftCell="A41" zoomScaleNormal="100" workbookViewId="0">
      <selection activeCell="M56" sqref="M56:Q56"/>
    </sheetView>
  </sheetViews>
  <sheetFormatPr defaultRowHeight="15" x14ac:dyDescent="0.25"/>
  <cols>
    <col min="1" max="1" width="4.7109375" style="56" customWidth="1"/>
    <col min="2" max="2" width="18.7109375" customWidth="1"/>
    <col min="3" max="3" width="4.7109375" customWidth="1"/>
    <col min="4" max="5" width="4.7109375" style="56" customWidth="1"/>
    <col min="6" max="6" width="2.28515625" customWidth="1"/>
    <col min="7" max="7" width="4.7109375" style="56" customWidth="1"/>
    <col min="8" max="8" width="18.7109375" customWidth="1"/>
    <col min="9" max="9" width="4.7109375" customWidth="1"/>
    <col min="10" max="11" width="4.7109375" style="56" customWidth="1"/>
    <col min="12" max="12" width="2.28515625" customWidth="1"/>
    <col min="13" max="13" width="4.7109375" style="56" customWidth="1"/>
    <col min="14" max="15" width="10.7109375" customWidth="1"/>
    <col min="16" max="17" width="4.7109375" style="56" customWidth="1"/>
    <col min="20" max="20" width="4.42578125" style="5" customWidth="1"/>
    <col min="21" max="21" width="12.28515625" style="31" customWidth="1"/>
    <col min="22" max="39" width="4.7109375" style="56" customWidth="1"/>
    <col min="40" max="51" width="4.7109375" style="5" customWidth="1"/>
    <col min="52" max="52" width="9.140625" style="5"/>
  </cols>
  <sheetData>
    <row r="1" spans="1:52" ht="25.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52" ht="21" customHeight="1" x14ac:dyDescent="0.25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52" ht="18" customHeight="1" x14ac:dyDescent="0.25">
      <c r="A3" s="77" t="s">
        <v>158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52" ht="15" customHeight="1" x14ac:dyDescent="0.25">
      <c r="A4" s="78" t="s">
        <v>159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52" ht="24.75" customHeight="1" x14ac:dyDescent="0.25"/>
    <row r="6" spans="1:52" ht="20.100000000000001" customHeight="1" x14ac:dyDescent="0.3">
      <c r="A6" s="79" t="s">
        <v>138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</row>
    <row r="7" spans="1:52" ht="15" customHeight="1" x14ac:dyDescent="0.25">
      <c r="A7" s="91" t="s">
        <v>154</v>
      </c>
      <c r="B7" s="91"/>
      <c r="C7" s="9" t="s">
        <v>187</v>
      </c>
      <c r="D7" s="51"/>
      <c r="E7" s="51"/>
      <c r="F7" s="56"/>
      <c r="J7" s="51"/>
      <c r="M7" s="92" t="s">
        <v>139</v>
      </c>
      <c r="N7" s="92"/>
      <c r="O7" s="10" t="s">
        <v>155</v>
      </c>
    </row>
    <row r="8" spans="1:52" ht="15" customHeight="1" x14ac:dyDescent="0.25">
      <c r="A8" s="91" t="s">
        <v>140</v>
      </c>
      <c r="B8" s="91"/>
      <c r="C8" s="9">
        <v>2101113</v>
      </c>
      <c r="D8" s="51"/>
      <c r="E8" s="51"/>
      <c r="F8" s="56"/>
      <c r="J8" s="51"/>
      <c r="M8" s="92" t="s">
        <v>141</v>
      </c>
      <c r="N8" s="92"/>
      <c r="O8" s="10" t="s">
        <v>176</v>
      </c>
    </row>
    <row r="9" spans="1:52" ht="15" customHeight="1" x14ac:dyDescent="0.25">
      <c r="A9" s="91" t="s">
        <v>173</v>
      </c>
      <c r="B9" s="91"/>
      <c r="C9" s="38" t="s">
        <v>160</v>
      </c>
      <c r="D9" s="51"/>
      <c r="E9" s="51"/>
      <c r="F9" s="56"/>
      <c r="I9" s="8"/>
      <c r="J9" s="51"/>
      <c r="K9" s="6"/>
      <c r="L9" s="8"/>
      <c r="M9" s="92" t="s">
        <v>142</v>
      </c>
      <c r="N9" s="92"/>
      <c r="O9" s="10" t="s">
        <v>156</v>
      </c>
      <c r="P9" s="6"/>
      <c r="Q9" s="6"/>
    </row>
    <row r="10" spans="1:52" ht="4.5" customHeight="1" thickBot="1" x14ac:dyDescent="0.3"/>
    <row r="11" spans="1:52" ht="16.5" thickTop="1" thickBot="1" x14ac:dyDescent="0.3">
      <c r="A11" s="81" t="s">
        <v>0</v>
      </c>
      <c r="B11" s="81" t="s">
        <v>1</v>
      </c>
      <c r="C11" s="81"/>
      <c r="D11" s="81" t="s">
        <v>2</v>
      </c>
      <c r="E11" s="81"/>
      <c r="F11" s="19"/>
      <c r="G11" s="81" t="s">
        <v>0</v>
      </c>
      <c r="H11" s="81" t="s">
        <v>1</v>
      </c>
      <c r="I11" s="81"/>
      <c r="J11" s="81" t="s">
        <v>2</v>
      </c>
      <c r="K11" s="81"/>
      <c r="L11" s="19"/>
      <c r="M11" s="81" t="s">
        <v>0</v>
      </c>
      <c r="N11" s="81" t="s">
        <v>1</v>
      </c>
      <c r="O11" s="81"/>
      <c r="P11" s="81" t="s">
        <v>2</v>
      </c>
      <c r="Q11" s="81"/>
      <c r="U11" s="89"/>
      <c r="V11" s="88" t="s">
        <v>153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 t="s">
        <v>146</v>
      </c>
    </row>
    <row r="12" spans="1:52" ht="12" customHeight="1" thickTop="1" thickBot="1" x14ac:dyDescent="0.3">
      <c r="A12" s="81"/>
      <c r="B12" s="81"/>
      <c r="C12" s="81"/>
      <c r="D12" s="53" t="s">
        <v>143</v>
      </c>
      <c r="E12" s="53" t="s">
        <v>144</v>
      </c>
      <c r="F12" s="19"/>
      <c r="G12" s="81"/>
      <c r="H12" s="81"/>
      <c r="I12" s="81"/>
      <c r="J12" s="53" t="s">
        <v>143</v>
      </c>
      <c r="K12" s="53" t="s">
        <v>144</v>
      </c>
      <c r="L12" s="19"/>
      <c r="M12" s="81"/>
      <c r="N12" s="81"/>
      <c r="O12" s="81"/>
      <c r="P12" s="53" t="s">
        <v>143</v>
      </c>
      <c r="Q12" s="53" t="s">
        <v>144</v>
      </c>
      <c r="U12" s="90"/>
      <c r="V12" s="52">
        <v>1</v>
      </c>
      <c r="W12" s="52">
        <v>2</v>
      </c>
      <c r="X12" s="52">
        <v>3</v>
      </c>
      <c r="Y12" s="52">
        <v>4</v>
      </c>
      <c r="Z12" s="52">
        <v>5</v>
      </c>
      <c r="AA12" s="52">
        <v>6</v>
      </c>
      <c r="AB12" s="52">
        <v>7</v>
      </c>
      <c r="AC12" s="52">
        <v>8</v>
      </c>
      <c r="AD12" s="52">
        <v>9</v>
      </c>
      <c r="AE12" s="52">
        <v>10</v>
      </c>
      <c r="AF12" s="52">
        <v>11</v>
      </c>
      <c r="AG12" s="52">
        <v>12</v>
      </c>
      <c r="AH12" s="52">
        <v>13</v>
      </c>
      <c r="AI12" s="52">
        <v>14</v>
      </c>
      <c r="AJ12" s="52">
        <v>15</v>
      </c>
      <c r="AK12" s="52">
        <v>16</v>
      </c>
      <c r="AL12" s="52">
        <v>17</v>
      </c>
      <c r="AM12" s="52">
        <v>18</v>
      </c>
      <c r="AN12" s="52">
        <v>19</v>
      </c>
      <c r="AO12" s="52">
        <v>20</v>
      </c>
      <c r="AP12" s="52">
        <v>21</v>
      </c>
      <c r="AQ12" s="52">
        <v>22</v>
      </c>
      <c r="AR12" s="52">
        <v>23</v>
      </c>
      <c r="AS12" s="52">
        <v>24</v>
      </c>
      <c r="AT12" s="52">
        <v>25</v>
      </c>
      <c r="AU12" s="52">
        <v>26</v>
      </c>
      <c r="AV12" s="52">
        <v>27</v>
      </c>
      <c r="AW12" s="52">
        <v>28</v>
      </c>
      <c r="AX12" s="52">
        <v>29</v>
      </c>
      <c r="AY12" s="52">
        <v>30</v>
      </c>
      <c r="AZ12" s="88"/>
    </row>
    <row r="13" spans="1:52" ht="3.75" customHeight="1" thickTop="1" thickBot="1" x14ac:dyDescent="0.3"/>
    <row r="14" spans="1:52" s="11" customFormat="1" ht="17.100000000000001" customHeight="1" thickBot="1" x14ac:dyDescent="0.3">
      <c r="A14" s="70">
        <v>1</v>
      </c>
      <c r="B14" s="73" t="s">
        <v>3</v>
      </c>
      <c r="C14" s="73"/>
      <c r="D14" s="72"/>
      <c r="E14" s="72"/>
      <c r="G14" s="70">
        <v>22</v>
      </c>
      <c r="H14" s="73" t="s">
        <v>52</v>
      </c>
      <c r="I14" s="73"/>
      <c r="J14" s="72"/>
      <c r="K14" s="72"/>
      <c r="M14" s="70">
        <v>30</v>
      </c>
      <c r="N14" s="73" t="s">
        <v>101</v>
      </c>
      <c r="O14" s="73"/>
      <c r="P14" s="70">
        <v>90</v>
      </c>
      <c r="Q14" s="70">
        <v>70</v>
      </c>
      <c r="T14" s="56"/>
      <c r="U14" s="34" t="s">
        <v>151</v>
      </c>
      <c r="V14" s="52">
        <f>D14</f>
        <v>0</v>
      </c>
      <c r="W14" s="52">
        <f>D16</f>
        <v>0</v>
      </c>
      <c r="X14" s="52">
        <f>D17</f>
        <v>0</v>
      </c>
      <c r="Y14" s="52">
        <f>D19</f>
        <v>0</v>
      </c>
      <c r="Z14" s="52">
        <f>D21</f>
        <v>0</v>
      </c>
      <c r="AA14" s="52">
        <f>D22</f>
        <v>0</v>
      </c>
      <c r="AB14" s="52">
        <f>D24</f>
        <v>0</v>
      </c>
      <c r="AC14" s="52">
        <f>D26</f>
        <v>0</v>
      </c>
      <c r="AD14" s="52">
        <f>D28</f>
        <v>0</v>
      </c>
      <c r="AE14" s="52">
        <f>D30</f>
        <v>0</v>
      </c>
      <c r="AF14" s="52">
        <f>D32</f>
        <v>0</v>
      </c>
      <c r="AG14" s="52">
        <f>D35</f>
        <v>0</v>
      </c>
      <c r="AH14" s="52">
        <f>D37</f>
        <v>0</v>
      </c>
      <c r="AI14" s="52">
        <f>D40</f>
        <v>0</v>
      </c>
      <c r="AJ14" s="52">
        <f>D42</f>
        <v>0</v>
      </c>
      <c r="AK14" s="52">
        <f>D44</f>
        <v>0</v>
      </c>
      <c r="AL14" s="52">
        <f>D47</f>
        <v>0</v>
      </c>
      <c r="AM14" s="52">
        <f>D49</f>
        <v>0</v>
      </c>
      <c r="AN14" s="52">
        <f>D52</f>
        <v>0</v>
      </c>
      <c r="AO14" s="52">
        <f>D55</f>
        <v>0</v>
      </c>
      <c r="AP14" s="52">
        <f>D58</f>
        <v>0</v>
      </c>
      <c r="AQ14" s="52">
        <f>J14</f>
        <v>0</v>
      </c>
      <c r="AR14" s="52">
        <f>J18</f>
        <v>0</v>
      </c>
      <c r="AS14" s="52">
        <f>J22</f>
        <v>0</v>
      </c>
      <c r="AT14" s="52">
        <f>J25</f>
        <v>0</v>
      </c>
      <c r="AU14" s="52">
        <f>J30</f>
        <v>65</v>
      </c>
      <c r="AV14" s="52">
        <f>J36</f>
        <v>69</v>
      </c>
      <c r="AW14" s="52">
        <f>J43</f>
        <v>68</v>
      </c>
      <c r="AX14" s="52">
        <f>J52</f>
        <v>90</v>
      </c>
      <c r="AY14" s="52">
        <f>P14</f>
        <v>90</v>
      </c>
      <c r="AZ14" s="35">
        <f>AVERAGEIF(V14:AY14,"&gt;0")</f>
        <v>76.400000000000006</v>
      </c>
    </row>
    <row r="15" spans="1:52" s="11" customFormat="1" ht="17.100000000000001" customHeight="1" thickBot="1" x14ac:dyDescent="0.3">
      <c r="A15" s="70"/>
      <c r="B15" s="73" t="s">
        <v>4</v>
      </c>
      <c r="C15" s="73"/>
      <c r="D15" s="72"/>
      <c r="E15" s="72"/>
      <c r="G15" s="70"/>
      <c r="H15" s="73" t="s">
        <v>53</v>
      </c>
      <c r="I15" s="73"/>
      <c r="J15" s="72"/>
      <c r="K15" s="72"/>
      <c r="M15" s="70"/>
      <c r="N15" s="73" t="s">
        <v>102</v>
      </c>
      <c r="O15" s="73"/>
      <c r="P15" s="70"/>
      <c r="Q15" s="70"/>
      <c r="T15" s="56"/>
      <c r="U15" s="34" t="s">
        <v>152</v>
      </c>
      <c r="V15" s="52">
        <f>E14</f>
        <v>0</v>
      </c>
      <c r="W15" s="52">
        <f>E16</f>
        <v>0</v>
      </c>
      <c r="X15" s="52">
        <f>E17</f>
        <v>0</v>
      </c>
      <c r="Y15" s="52">
        <f>E19</f>
        <v>0</v>
      </c>
      <c r="Z15" s="52">
        <f>E21</f>
        <v>0</v>
      </c>
      <c r="AA15" s="52">
        <f>E22</f>
        <v>0</v>
      </c>
      <c r="AB15" s="52">
        <f>E24</f>
        <v>0</v>
      </c>
      <c r="AC15" s="52">
        <f>E26</f>
        <v>0</v>
      </c>
      <c r="AD15" s="52">
        <f>E28</f>
        <v>0</v>
      </c>
      <c r="AE15" s="52">
        <f>E30</f>
        <v>0</v>
      </c>
      <c r="AF15" s="52">
        <f>E32</f>
        <v>0</v>
      </c>
      <c r="AG15" s="52">
        <f>E35</f>
        <v>0</v>
      </c>
      <c r="AH15" s="52">
        <f>E37</f>
        <v>0</v>
      </c>
      <c r="AI15" s="52">
        <f>E40</f>
        <v>0</v>
      </c>
      <c r="AJ15" s="52">
        <f>E42</f>
        <v>0</v>
      </c>
      <c r="AK15" s="52">
        <f>E44</f>
        <v>0</v>
      </c>
      <c r="AL15" s="52">
        <f>E47</f>
        <v>0</v>
      </c>
      <c r="AM15" s="52">
        <f>E49</f>
        <v>0</v>
      </c>
      <c r="AN15" s="52">
        <f>E52</f>
        <v>0</v>
      </c>
      <c r="AO15" s="52">
        <f>E55</f>
        <v>0</v>
      </c>
      <c r="AP15" s="52">
        <f>E58</f>
        <v>0</v>
      </c>
      <c r="AQ15" s="52">
        <f>K14</f>
        <v>0</v>
      </c>
      <c r="AR15" s="52">
        <f>K18</f>
        <v>0</v>
      </c>
      <c r="AS15" s="52">
        <f>K22</f>
        <v>0</v>
      </c>
      <c r="AT15" s="52">
        <f>K25</f>
        <v>0</v>
      </c>
      <c r="AU15" s="52">
        <f>K30</f>
        <v>70</v>
      </c>
      <c r="AV15" s="52">
        <f>K36</f>
        <v>70</v>
      </c>
      <c r="AW15" s="52">
        <f>K43</f>
        <v>70</v>
      </c>
      <c r="AX15" s="52">
        <f>K52</f>
        <v>70</v>
      </c>
      <c r="AY15" s="52">
        <f>Q14</f>
        <v>70</v>
      </c>
      <c r="AZ15" s="35">
        <f>AVERAGEIF(V15:AY15,"&lt;&gt;0")</f>
        <v>70</v>
      </c>
    </row>
    <row r="16" spans="1:52" s="11" customFormat="1" ht="17.100000000000001" customHeight="1" thickBot="1" x14ac:dyDescent="0.3">
      <c r="A16" s="55">
        <v>2</v>
      </c>
      <c r="B16" s="73" t="s">
        <v>6</v>
      </c>
      <c r="C16" s="73"/>
      <c r="D16" s="54"/>
      <c r="E16" s="54"/>
      <c r="G16" s="70"/>
      <c r="H16" s="73" t="s">
        <v>54</v>
      </c>
      <c r="I16" s="73"/>
      <c r="J16" s="72"/>
      <c r="K16" s="72"/>
      <c r="M16" s="70"/>
      <c r="N16" s="73" t="s">
        <v>103</v>
      </c>
      <c r="O16" s="73"/>
      <c r="P16" s="70"/>
      <c r="Q16" s="70"/>
      <c r="T16" s="56"/>
      <c r="U16" s="32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s="11" customFormat="1" ht="17.100000000000001" customHeight="1" thickBot="1" x14ac:dyDescent="0.3">
      <c r="A17" s="70">
        <v>3</v>
      </c>
      <c r="B17" s="73" t="s">
        <v>5</v>
      </c>
      <c r="C17" s="73"/>
      <c r="D17" s="72"/>
      <c r="E17" s="72"/>
      <c r="G17" s="70"/>
      <c r="H17" s="73" t="s">
        <v>55</v>
      </c>
      <c r="I17" s="73"/>
      <c r="J17" s="72"/>
      <c r="K17" s="72"/>
      <c r="M17" s="70"/>
      <c r="N17" s="73" t="s">
        <v>104</v>
      </c>
      <c r="O17" s="73"/>
      <c r="P17" s="70"/>
      <c r="Q17" s="70"/>
      <c r="T17" s="56"/>
      <c r="U17" s="32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</row>
    <row r="18" spans="1:52" s="11" customFormat="1" ht="17.100000000000001" customHeight="1" thickBot="1" x14ac:dyDescent="0.3">
      <c r="A18" s="70"/>
      <c r="B18" s="73" t="s">
        <v>7</v>
      </c>
      <c r="C18" s="73"/>
      <c r="D18" s="72"/>
      <c r="E18" s="72"/>
      <c r="G18" s="70">
        <v>23</v>
      </c>
      <c r="H18" s="73" t="s">
        <v>56</v>
      </c>
      <c r="I18" s="73"/>
      <c r="J18" s="70"/>
      <c r="K18" s="70"/>
      <c r="M18" s="70"/>
      <c r="N18" s="73" t="s">
        <v>105</v>
      </c>
      <c r="O18" s="73"/>
      <c r="P18" s="70"/>
      <c r="Q18" s="70"/>
      <c r="T18" s="56"/>
      <c r="U18" s="32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</row>
    <row r="19" spans="1:52" s="11" customFormat="1" ht="17.100000000000001" customHeight="1" thickBot="1" x14ac:dyDescent="0.3">
      <c r="A19" s="70">
        <v>4</v>
      </c>
      <c r="B19" s="73" t="s">
        <v>8</v>
      </c>
      <c r="C19" s="73"/>
      <c r="D19" s="72"/>
      <c r="E19" s="70"/>
      <c r="G19" s="70"/>
      <c r="H19" s="73" t="s">
        <v>57</v>
      </c>
      <c r="I19" s="73"/>
      <c r="J19" s="70"/>
      <c r="K19" s="70"/>
      <c r="M19" s="70"/>
      <c r="N19" s="73" t="s">
        <v>106</v>
      </c>
      <c r="O19" s="73"/>
      <c r="P19" s="70"/>
      <c r="Q19" s="70"/>
      <c r="T19" s="56"/>
      <c r="U19" s="32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</row>
    <row r="20" spans="1:52" s="11" customFormat="1" ht="17.100000000000001" customHeight="1" thickBot="1" x14ac:dyDescent="0.3">
      <c r="A20" s="70"/>
      <c r="B20" s="73" t="s">
        <v>9</v>
      </c>
      <c r="C20" s="73"/>
      <c r="D20" s="72"/>
      <c r="E20" s="70"/>
      <c r="G20" s="70"/>
      <c r="H20" s="73" t="s">
        <v>58</v>
      </c>
      <c r="I20" s="73"/>
      <c r="J20" s="70"/>
      <c r="K20" s="70"/>
      <c r="M20" s="70"/>
      <c r="N20" s="73" t="s">
        <v>107</v>
      </c>
      <c r="O20" s="73"/>
      <c r="P20" s="70"/>
      <c r="Q20" s="70"/>
      <c r="T20" s="56"/>
      <c r="U20" s="32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</row>
    <row r="21" spans="1:52" s="11" customFormat="1" ht="17.100000000000001" customHeight="1" thickBot="1" x14ac:dyDescent="0.3">
      <c r="A21" s="55">
        <v>5</v>
      </c>
      <c r="B21" s="73" t="s">
        <v>10</v>
      </c>
      <c r="C21" s="73"/>
      <c r="D21" s="54"/>
      <c r="E21" s="54"/>
      <c r="G21" s="70"/>
      <c r="H21" s="73" t="s">
        <v>59</v>
      </c>
      <c r="I21" s="73"/>
      <c r="J21" s="70"/>
      <c r="K21" s="70"/>
      <c r="M21" s="70"/>
      <c r="N21" s="73" t="s">
        <v>108</v>
      </c>
      <c r="O21" s="73"/>
      <c r="P21" s="70"/>
      <c r="Q21" s="70"/>
      <c r="T21" s="56"/>
      <c r="U21" s="32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</row>
    <row r="22" spans="1:52" s="11" customFormat="1" ht="17.100000000000001" customHeight="1" thickBot="1" x14ac:dyDescent="0.3">
      <c r="A22" s="70">
        <v>6</v>
      </c>
      <c r="B22" s="73" t="s">
        <v>11</v>
      </c>
      <c r="C22" s="73"/>
      <c r="D22" s="72"/>
      <c r="E22" s="70"/>
      <c r="G22" s="70">
        <v>24</v>
      </c>
      <c r="H22" s="73" t="s">
        <v>60</v>
      </c>
      <c r="I22" s="73"/>
      <c r="J22" s="70"/>
      <c r="K22" s="70"/>
      <c r="M22" s="70"/>
      <c r="N22" s="73" t="s">
        <v>109</v>
      </c>
      <c r="O22" s="73"/>
      <c r="P22" s="70"/>
      <c r="Q22" s="70"/>
      <c r="T22" s="56"/>
      <c r="U22" s="32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</row>
    <row r="23" spans="1:52" s="11" customFormat="1" ht="17.100000000000001" customHeight="1" thickBot="1" x14ac:dyDescent="0.3">
      <c r="A23" s="70"/>
      <c r="B23" s="73" t="s">
        <v>12</v>
      </c>
      <c r="C23" s="73"/>
      <c r="D23" s="72"/>
      <c r="E23" s="70"/>
      <c r="G23" s="70"/>
      <c r="H23" s="73" t="s">
        <v>61</v>
      </c>
      <c r="I23" s="73"/>
      <c r="J23" s="70"/>
      <c r="K23" s="70"/>
      <c r="M23" s="70"/>
      <c r="N23" s="73" t="s">
        <v>110</v>
      </c>
      <c r="O23" s="73"/>
      <c r="P23" s="70"/>
      <c r="Q23" s="70"/>
      <c r="T23" s="56"/>
      <c r="U23" s="32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</row>
    <row r="24" spans="1:52" s="11" customFormat="1" ht="17.100000000000001" customHeight="1" thickBot="1" x14ac:dyDescent="0.3">
      <c r="A24" s="70">
        <v>7</v>
      </c>
      <c r="B24" s="73" t="s">
        <v>13</v>
      </c>
      <c r="C24" s="73"/>
      <c r="D24" s="70"/>
      <c r="E24" s="70"/>
      <c r="G24" s="70"/>
      <c r="H24" s="73" t="s">
        <v>62</v>
      </c>
      <c r="I24" s="73"/>
      <c r="J24" s="70"/>
      <c r="K24" s="70"/>
      <c r="M24" s="70"/>
      <c r="N24" s="73" t="s">
        <v>111</v>
      </c>
      <c r="O24" s="73"/>
      <c r="P24" s="70"/>
      <c r="Q24" s="70"/>
      <c r="T24" s="56"/>
      <c r="U24" s="32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</row>
    <row r="25" spans="1:52" s="11" customFormat="1" ht="17.100000000000001" customHeight="1" thickBot="1" x14ac:dyDescent="0.3">
      <c r="A25" s="70"/>
      <c r="B25" s="73" t="s">
        <v>14</v>
      </c>
      <c r="C25" s="73"/>
      <c r="D25" s="70"/>
      <c r="E25" s="70"/>
      <c r="G25" s="70">
        <v>25</v>
      </c>
      <c r="H25" s="73" t="s">
        <v>63</v>
      </c>
      <c r="I25" s="73"/>
      <c r="J25" s="70"/>
      <c r="K25" s="70"/>
      <c r="M25" s="70"/>
      <c r="N25" s="73" t="s">
        <v>112</v>
      </c>
      <c r="O25" s="73"/>
      <c r="P25" s="70"/>
      <c r="Q25" s="70"/>
      <c r="T25" s="56"/>
      <c r="U25" s="32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</row>
    <row r="26" spans="1:52" s="11" customFormat="1" ht="17.100000000000001" customHeight="1" thickBot="1" x14ac:dyDescent="0.3">
      <c r="A26" s="70">
        <v>8</v>
      </c>
      <c r="B26" s="73" t="s">
        <v>15</v>
      </c>
      <c r="C26" s="73"/>
      <c r="D26" s="70"/>
      <c r="E26" s="70"/>
      <c r="G26" s="70"/>
      <c r="H26" s="73" t="s">
        <v>64</v>
      </c>
      <c r="I26" s="73"/>
      <c r="J26" s="70"/>
      <c r="K26" s="70"/>
      <c r="M26" s="70"/>
      <c r="N26" s="73" t="s">
        <v>113</v>
      </c>
      <c r="O26" s="73"/>
      <c r="P26" s="70"/>
      <c r="Q26" s="70"/>
      <c r="T26" s="56"/>
      <c r="U26" s="32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</row>
    <row r="27" spans="1:52" s="11" customFormat="1" ht="17.100000000000001" customHeight="1" thickBot="1" x14ac:dyDescent="0.3">
      <c r="A27" s="70"/>
      <c r="B27" s="73" t="s">
        <v>16</v>
      </c>
      <c r="C27" s="73"/>
      <c r="D27" s="70"/>
      <c r="E27" s="70"/>
      <c r="G27" s="70"/>
      <c r="H27" s="73" t="s">
        <v>65</v>
      </c>
      <c r="I27" s="73"/>
      <c r="J27" s="70"/>
      <c r="K27" s="70"/>
      <c r="M27" s="70"/>
      <c r="N27" s="73" t="s">
        <v>114</v>
      </c>
      <c r="O27" s="73"/>
      <c r="P27" s="70"/>
      <c r="Q27" s="70"/>
      <c r="T27" s="56"/>
      <c r="U27" s="32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</row>
    <row r="28" spans="1:52" s="11" customFormat="1" ht="17.100000000000001" customHeight="1" thickBot="1" x14ac:dyDescent="0.3">
      <c r="A28" s="70">
        <v>9</v>
      </c>
      <c r="B28" s="73" t="s">
        <v>17</v>
      </c>
      <c r="C28" s="73"/>
      <c r="D28" s="70"/>
      <c r="E28" s="70"/>
      <c r="G28" s="70"/>
      <c r="H28" s="73" t="s">
        <v>66</v>
      </c>
      <c r="I28" s="73"/>
      <c r="J28" s="70"/>
      <c r="K28" s="70"/>
      <c r="M28" s="70"/>
      <c r="N28" s="73" t="s">
        <v>115</v>
      </c>
      <c r="O28" s="73"/>
      <c r="P28" s="70"/>
      <c r="Q28" s="70"/>
      <c r="T28" s="56"/>
      <c r="U28" s="32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</row>
    <row r="29" spans="1:52" s="11" customFormat="1" ht="17.100000000000001" customHeight="1" thickBot="1" x14ac:dyDescent="0.3">
      <c r="A29" s="70"/>
      <c r="B29" s="73" t="s">
        <v>18</v>
      </c>
      <c r="C29" s="73"/>
      <c r="D29" s="70"/>
      <c r="E29" s="70"/>
      <c r="G29" s="70"/>
      <c r="H29" s="73" t="s">
        <v>67</v>
      </c>
      <c r="I29" s="73"/>
      <c r="J29" s="70"/>
      <c r="K29" s="70"/>
      <c r="M29" s="70"/>
      <c r="N29" s="73" t="s">
        <v>116</v>
      </c>
      <c r="O29" s="73"/>
      <c r="P29" s="70"/>
      <c r="Q29" s="70"/>
      <c r="T29" s="56"/>
      <c r="U29" s="32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</row>
    <row r="30" spans="1:52" s="11" customFormat="1" ht="17.100000000000001" customHeight="1" thickBot="1" x14ac:dyDescent="0.3">
      <c r="A30" s="70">
        <v>10</v>
      </c>
      <c r="B30" s="73" t="s">
        <v>19</v>
      </c>
      <c r="C30" s="73"/>
      <c r="D30" s="70"/>
      <c r="E30" s="70"/>
      <c r="G30" s="70">
        <v>26</v>
      </c>
      <c r="H30" s="73" t="s">
        <v>68</v>
      </c>
      <c r="I30" s="73"/>
      <c r="J30" s="70">
        <v>65</v>
      </c>
      <c r="K30" s="70">
        <v>70</v>
      </c>
      <c r="M30" s="70"/>
      <c r="N30" s="73" t="s">
        <v>117</v>
      </c>
      <c r="O30" s="73"/>
      <c r="P30" s="70"/>
      <c r="Q30" s="70"/>
      <c r="T30" s="56"/>
      <c r="U30" s="32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52" s="11" customFormat="1" ht="17.100000000000001" customHeight="1" thickBot="1" x14ac:dyDescent="0.3">
      <c r="A31" s="70"/>
      <c r="B31" s="73" t="s">
        <v>20</v>
      </c>
      <c r="C31" s="73"/>
      <c r="D31" s="70"/>
      <c r="E31" s="70"/>
      <c r="G31" s="70"/>
      <c r="H31" s="73" t="s">
        <v>69</v>
      </c>
      <c r="I31" s="73"/>
      <c r="J31" s="70"/>
      <c r="K31" s="70"/>
      <c r="M31" s="70"/>
      <c r="N31" s="73" t="s">
        <v>118</v>
      </c>
      <c r="O31" s="73"/>
      <c r="P31" s="70"/>
      <c r="Q31" s="70"/>
      <c r="T31" s="56"/>
      <c r="U31" s="32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52" s="11" customFormat="1" ht="17.100000000000001" customHeight="1" thickBot="1" x14ac:dyDescent="0.3">
      <c r="A32" s="70">
        <v>11</v>
      </c>
      <c r="B32" s="73" t="s">
        <v>21</v>
      </c>
      <c r="C32" s="73"/>
      <c r="D32" s="72"/>
      <c r="E32" s="72"/>
      <c r="G32" s="70"/>
      <c r="H32" s="93" t="s">
        <v>70</v>
      </c>
      <c r="I32" s="93"/>
      <c r="J32" s="70"/>
      <c r="K32" s="70"/>
      <c r="M32" s="70"/>
      <c r="N32" s="73" t="s">
        <v>119</v>
      </c>
      <c r="O32" s="73"/>
      <c r="P32" s="70"/>
      <c r="Q32" s="70"/>
      <c r="T32" s="56"/>
      <c r="U32" s="32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 spans="1:52" s="11" customFormat="1" ht="17.100000000000001" customHeight="1" thickBot="1" x14ac:dyDescent="0.3">
      <c r="A33" s="70"/>
      <c r="B33" s="73" t="s">
        <v>22</v>
      </c>
      <c r="C33" s="73"/>
      <c r="D33" s="72"/>
      <c r="E33" s="72"/>
      <c r="G33" s="70"/>
      <c r="H33" s="93" t="s">
        <v>71</v>
      </c>
      <c r="I33" s="93"/>
      <c r="J33" s="70"/>
      <c r="K33" s="70"/>
      <c r="M33" s="70"/>
      <c r="N33" s="73" t="s">
        <v>120</v>
      </c>
      <c r="O33" s="73"/>
      <c r="P33" s="70"/>
      <c r="Q33" s="70"/>
      <c r="T33" s="56"/>
      <c r="U33" s="32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 spans="1:52" s="11" customFormat="1" ht="17.100000000000001" customHeight="1" thickBot="1" x14ac:dyDescent="0.3">
      <c r="A34" s="70"/>
      <c r="B34" s="73" t="s">
        <v>23</v>
      </c>
      <c r="C34" s="73"/>
      <c r="D34" s="72"/>
      <c r="E34" s="72"/>
      <c r="G34" s="70"/>
      <c r="H34" s="73" t="s">
        <v>72</v>
      </c>
      <c r="I34" s="73"/>
      <c r="J34" s="70"/>
      <c r="K34" s="70"/>
      <c r="M34" s="70"/>
      <c r="N34" s="73" t="s">
        <v>121</v>
      </c>
      <c r="O34" s="73"/>
      <c r="P34" s="70"/>
      <c r="Q34" s="70"/>
      <c r="T34" s="56"/>
      <c r="U34" s="32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</row>
    <row r="35" spans="1:52" s="11" customFormat="1" ht="17.100000000000001" customHeight="1" thickBot="1" x14ac:dyDescent="0.3">
      <c r="A35" s="70">
        <v>12</v>
      </c>
      <c r="B35" s="73" t="s">
        <v>24</v>
      </c>
      <c r="C35" s="73"/>
      <c r="D35" s="70"/>
      <c r="E35" s="70"/>
      <c r="G35" s="70"/>
      <c r="H35" s="73" t="s">
        <v>73</v>
      </c>
      <c r="I35" s="73"/>
      <c r="J35" s="70"/>
      <c r="K35" s="70"/>
      <c r="M35" s="70"/>
      <c r="N35" s="73" t="s">
        <v>122</v>
      </c>
      <c r="O35" s="73"/>
      <c r="P35" s="70"/>
      <c r="Q35" s="70"/>
      <c r="T35" s="56"/>
      <c r="U35" s="32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</row>
    <row r="36" spans="1:52" s="11" customFormat="1" ht="17.100000000000001" customHeight="1" thickBot="1" x14ac:dyDescent="0.3">
      <c r="A36" s="70"/>
      <c r="B36" s="73" t="s">
        <v>25</v>
      </c>
      <c r="C36" s="73"/>
      <c r="D36" s="70"/>
      <c r="E36" s="70"/>
      <c r="G36" s="70">
        <v>27</v>
      </c>
      <c r="H36" s="73" t="s">
        <v>74</v>
      </c>
      <c r="I36" s="73"/>
      <c r="J36" s="70">
        <v>69</v>
      </c>
      <c r="K36" s="70">
        <v>70</v>
      </c>
      <c r="M36" s="70"/>
      <c r="N36" s="73" t="s">
        <v>123</v>
      </c>
      <c r="O36" s="73"/>
      <c r="P36" s="70"/>
      <c r="Q36" s="70"/>
      <c r="T36" s="56"/>
      <c r="U36" s="32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</row>
    <row r="37" spans="1:52" s="11" customFormat="1" ht="17.100000000000001" customHeight="1" thickBot="1" x14ac:dyDescent="0.3">
      <c r="A37" s="70">
        <v>13</v>
      </c>
      <c r="B37" s="73" t="s">
        <v>26</v>
      </c>
      <c r="C37" s="73"/>
      <c r="D37" s="72"/>
      <c r="E37" s="72"/>
      <c r="G37" s="70"/>
      <c r="H37" s="73" t="s">
        <v>75</v>
      </c>
      <c r="I37" s="73"/>
      <c r="J37" s="70"/>
      <c r="K37" s="70"/>
      <c r="M37" s="70"/>
      <c r="N37" s="73" t="s">
        <v>124</v>
      </c>
      <c r="O37" s="73"/>
      <c r="P37" s="70"/>
      <c r="Q37" s="70"/>
      <c r="T37" s="56"/>
      <c r="U37" s="32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</row>
    <row r="38" spans="1:52" s="11" customFormat="1" ht="17.100000000000001" customHeight="1" thickBot="1" x14ac:dyDescent="0.3">
      <c r="A38" s="70"/>
      <c r="B38" s="73" t="s">
        <v>27</v>
      </c>
      <c r="C38" s="73"/>
      <c r="D38" s="72"/>
      <c r="E38" s="72"/>
      <c r="G38" s="70"/>
      <c r="H38" s="73" t="s">
        <v>76</v>
      </c>
      <c r="I38" s="73"/>
      <c r="J38" s="70"/>
      <c r="K38" s="70"/>
      <c r="M38" s="70"/>
      <c r="N38" s="73" t="s">
        <v>125</v>
      </c>
      <c r="O38" s="73"/>
      <c r="P38" s="70"/>
      <c r="Q38" s="70"/>
      <c r="T38" s="56"/>
      <c r="U38" s="32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</row>
    <row r="39" spans="1:52" s="11" customFormat="1" ht="17.100000000000001" customHeight="1" thickBot="1" x14ac:dyDescent="0.3">
      <c r="A39" s="70"/>
      <c r="B39" s="73" t="s">
        <v>28</v>
      </c>
      <c r="C39" s="73"/>
      <c r="D39" s="72"/>
      <c r="E39" s="72"/>
      <c r="G39" s="70"/>
      <c r="H39" s="73" t="s">
        <v>77</v>
      </c>
      <c r="I39" s="73"/>
      <c r="J39" s="70"/>
      <c r="K39" s="70"/>
      <c r="M39" s="70"/>
      <c r="N39" s="73" t="s">
        <v>126</v>
      </c>
      <c r="O39" s="73"/>
      <c r="P39" s="70"/>
      <c r="Q39" s="70"/>
      <c r="T39" s="56"/>
      <c r="U39" s="32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 spans="1:52" s="11" customFormat="1" ht="17.100000000000001" customHeight="1" thickBot="1" x14ac:dyDescent="0.3">
      <c r="A40" s="70">
        <v>14</v>
      </c>
      <c r="B40" s="73" t="s">
        <v>29</v>
      </c>
      <c r="C40" s="73"/>
      <c r="D40" s="70"/>
      <c r="E40" s="70"/>
      <c r="G40" s="70"/>
      <c r="H40" s="73" t="s">
        <v>78</v>
      </c>
      <c r="I40" s="73"/>
      <c r="J40" s="70"/>
      <c r="K40" s="70"/>
      <c r="M40" s="70"/>
      <c r="N40" s="73" t="s">
        <v>127</v>
      </c>
      <c r="O40" s="73"/>
      <c r="P40" s="70"/>
      <c r="Q40" s="70"/>
      <c r="T40" s="56"/>
      <c r="U40" s="32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</row>
    <row r="41" spans="1:52" s="11" customFormat="1" ht="17.100000000000001" customHeight="1" thickBot="1" x14ac:dyDescent="0.3">
      <c r="A41" s="70"/>
      <c r="B41" s="73" t="s">
        <v>30</v>
      </c>
      <c r="C41" s="73"/>
      <c r="D41" s="70"/>
      <c r="E41" s="70"/>
      <c r="G41" s="70"/>
      <c r="H41" s="73" t="s">
        <v>79</v>
      </c>
      <c r="I41" s="73"/>
      <c r="J41" s="70"/>
      <c r="K41" s="70"/>
      <c r="M41" s="70"/>
      <c r="N41" s="73" t="s">
        <v>128</v>
      </c>
      <c r="O41" s="73"/>
      <c r="P41" s="70"/>
      <c r="Q41" s="70"/>
      <c r="T41" s="56"/>
      <c r="U41" s="32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  <row r="42" spans="1:52" s="11" customFormat="1" ht="17.100000000000001" customHeight="1" thickBot="1" x14ac:dyDescent="0.3">
      <c r="A42" s="70">
        <v>15</v>
      </c>
      <c r="B42" s="73" t="s">
        <v>31</v>
      </c>
      <c r="C42" s="73"/>
      <c r="D42" s="70"/>
      <c r="E42" s="70"/>
      <c r="G42" s="70"/>
      <c r="H42" s="73" t="s">
        <v>80</v>
      </c>
      <c r="I42" s="73"/>
      <c r="J42" s="70"/>
      <c r="K42" s="70"/>
      <c r="M42" s="70"/>
      <c r="N42" s="73" t="s">
        <v>129</v>
      </c>
      <c r="O42" s="73"/>
      <c r="P42" s="70"/>
      <c r="Q42" s="70"/>
      <c r="T42" s="56"/>
      <c r="U42" s="32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</row>
    <row r="43" spans="1:52" s="11" customFormat="1" ht="17.100000000000001" customHeight="1" thickBot="1" x14ac:dyDescent="0.3">
      <c r="A43" s="70"/>
      <c r="B43" s="73" t="s">
        <v>32</v>
      </c>
      <c r="C43" s="73"/>
      <c r="D43" s="70"/>
      <c r="E43" s="70"/>
      <c r="G43" s="70">
        <v>28</v>
      </c>
      <c r="H43" s="73" t="s">
        <v>81</v>
      </c>
      <c r="I43" s="73"/>
      <c r="J43" s="70">
        <v>68</v>
      </c>
      <c r="K43" s="70">
        <v>70</v>
      </c>
      <c r="M43" s="70"/>
      <c r="N43" s="73" t="s">
        <v>130</v>
      </c>
      <c r="O43" s="73"/>
      <c r="P43" s="70"/>
      <c r="Q43" s="70"/>
      <c r="T43" s="56"/>
      <c r="U43" s="32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</row>
    <row r="44" spans="1:52" s="11" customFormat="1" ht="17.100000000000001" customHeight="1" thickBot="1" x14ac:dyDescent="0.3">
      <c r="A44" s="70">
        <v>16</v>
      </c>
      <c r="B44" s="73" t="s">
        <v>33</v>
      </c>
      <c r="C44" s="73"/>
      <c r="D44" s="72"/>
      <c r="E44" s="72"/>
      <c r="G44" s="70"/>
      <c r="H44" s="73" t="s">
        <v>82</v>
      </c>
      <c r="I44" s="73"/>
      <c r="J44" s="70"/>
      <c r="K44" s="70"/>
      <c r="M44" s="70"/>
      <c r="N44" s="73" t="s">
        <v>131</v>
      </c>
      <c r="O44" s="73"/>
      <c r="P44" s="70"/>
      <c r="Q44" s="70"/>
      <c r="T44" s="56"/>
      <c r="U44" s="32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</row>
    <row r="45" spans="1:52" s="11" customFormat="1" ht="17.100000000000001" customHeight="1" thickBot="1" x14ac:dyDescent="0.3">
      <c r="A45" s="70"/>
      <c r="B45" s="73" t="s">
        <v>34</v>
      </c>
      <c r="C45" s="73"/>
      <c r="D45" s="72"/>
      <c r="E45" s="72"/>
      <c r="G45" s="70"/>
      <c r="H45" s="73" t="s">
        <v>83</v>
      </c>
      <c r="I45" s="73"/>
      <c r="J45" s="70"/>
      <c r="K45" s="70"/>
      <c r="M45" s="70"/>
      <c r="N45" s="73" t="s">
        <v>132</v>
      </c>
      <c r="O45" s="73"/>
      <c r="P45" s="70"/>
      <c r="Q45" s="70"/>
      <c r="T45" s="56"/>
      <c r="U45" s="32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</row>
    <row r="46" spans="1:52" s="11" customFormat="1" ht="17.100000000000001" customHeight="1" thickBot="1" x14ac:dyDescent="0.3">
      <c r="A46" s="70"/>
      <c r="B46" s="73" t="s">
        <v>35</v>
      </c>
      <c r="C46" s="73"/>
      <c r="D46" s="72"/>
      <c r="E46" s="72"/>
      <c r="G46" s="70"/>
      <c r="H46" s="73" t="s">
        <v>84</v>
      </c>
      <c r="I46" s="73"/>
      <c r="J46" s="70"/>
      <c r="K46" s="70"/>
      <c r="M46" s="70"/>
      <c r="N46" s="73" t="s">
        <v>133</v>
      </c>
      <c r="O46" s="73"/>
      <c r="P46" s="70"/>
      <c r="Q46" s="70"/>
      <c r="T46" s="56"/>
      <c r="U46" s="32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</row>
    <row r="47" spans="1:52" s="11" customFormat="1" ht="17.100000000000001" customHeight="1" thickBot="1" x14ac:dyDescent="0.3">
      <c r="A47" s="70">
        <v>17</v>
      </c>
      <c r="B47" s="73" t="s">
        <v>36</v>
      </c>
      <c r="C47" s="73"/>
      <c r="D47" s="70"/>
      <c r="E47" s="70"/>
      <c r="G47" s="70"/>
      <c r="H47" s="73" t="s">
        <v>85</v>
      </c>
      <c r="I47" s="73"/>
      <c r="J47" s="70"/>
      <c r="K47" s="70"/>
      <c r="M47" s="70"/>
      <c r="N47" s="73" t="s">
        <v>134</v>
      </c>
      <c r="O47" s="73"/>
      <c r="P47" s="70"/>
      <c r="Q47" s="70"/>
      <c r="T47" s="56"/>
      <c r="U47" s="32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</row>
    <row r="48" spans="1:52" s="11" customFormat="1" ht="17.100000000000001" customHeight="1" thickBot="1" x14ac:dyDescent="0.3">
      <c r="A48" s="70"/>
      <c r="B48" s="73" t="s">
        <v>37</v>
      </c>
      <c r="C48" s="73"/>
      <c r="D48" s="70"/>
      <c r="E48" s="70"/>
      <c r="G48" s="70"/>
      <c r="H48" s="93" t="s">
        <v>86</v>
      </c>
      <c r="I48" s="93"/>
      <c r="J48" s="70"/>
      <c r="K48" s="70"/>
      <c r="M48" s="70"/>
      <c r="N48" s="73" t="s">
        <v>135</v>
      </c>
      <c r="O48" s="73"/>
      <c r="P48" s="70"/>
      <c r="Q48" s="70"/>
      <c r="T48" s="56"/>
      <c r="U48" s="32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</row>
    <row r="49" spans="1:52" s="11" customFormat="1" ht="17.100000000000001" customHeight="1" thickBot="1" x14ac:dyDescent="0.3">
      <c r="A49" s="70">
        <v>18</v>
      </c>
      <c r="B49" s="73" t="s">
        <v>38</v>
      </c>
      <c r="C49" s="73"/>
      <c r="D49" s="72"/>
      <c r="E49" s="72"/>
      <c r="G49" s="70"/>
      <c r="H49" s="93" t="s">
        <v>87</v>
      </c>
      <c r="I49" s="93"/>
      <c r="J49" s="70"/>
      <c r="K49" s="70"/>
      <c r="M49" s="70"/>
      <c r="N49" s="73" t="s">
        <v>136</v>
      </c>
      <c r="O49" s="73"/>
      <c r="P49" s="70"/>
      <c r="Q49" s="70"/>
      <c r="T49" s="56"/>
      <c r="U49" s="32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</row>
    <row r="50" spans="1:52" s="11" customFormat="1" ht="17.100000000000001" customHeight="1" thickBot="1" x14ac:dyDescent="0.3">
      <c r="A50" s="70"/>
      <c r="B50" s="73" t="s">
        <v>39</v>
      </c>
      <c r="C50" s="73"/>
      <c r="D50" s="72"/>
      <c r="E50" s="72"/>
      <c r="G50" s="70"/>
      <c r="H50" s="73" t="s">
        <v>88</v>
      </c>
      <c r="I50" s="73"/>
      <c r="J50" s="70"/>
      <c r="K50" s="70"/>
      <c r="M50" s="71"/>
      <c r="N50" s="84" t="s">
        <v>137</v>
      </c>
      <c r="O50" s="84"/>
      <c r="P50" s="71"/>
      <c r="Q50" s="71"/>
      <c r="T50" s="56"/>
      <c r="U50" s="32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</row>
    <row r="51" spans="1:52" s="11" customFormat="1" ht="17.100000000000001" customHeight="1" thickTop="1" thickBot="1" x14ac:dyDescent="0.3">
      <c r="A51" s="70"/>
      <c r="B51" s="73" t="s">
        <v>41</v>
      </c>
      <c r="C51" s="73"/>
      <c r="D51" s="72"/>
      <c r="E51" s="72"/>
      <c r="G51" s="70"/>
      <c r="H51" s="73" t="s">
        <v>89</v>
      </c>
      <c r="I51" s="73"/>
      <c r="J51" s="70"/>
      <c r="K51" s="70"/>
      <c r="M51" s="74" t="s">
        <v>145</v>
      </c>
      <c r="N51" s="74"/>
      <c r="O51" s="74"/>
      <c r="P51" s="82">
        <f>AZ14</f>
        <v>76.400000000000006</v>
      </c>
      <c r="Q51" s="82">
        <f>AZ15</f>
        <v>70</v>
      </c>
      <c r="T51" s="56"/>
      <c r="U51" s="32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</row>
    <row r="52" spans="1:52" s="11" customFormat="1" ht="17.100000000000001" customHeight="1" thickBot="1" x14ac:dyDescent="0.3">
      <c r="A52" s="70">
        <v>19</v>
      </c>
      <c r="B52" s="73" t="s">
        <v>42</v>
      </c>
      <c r="C52" s="73"/>
      <c r="D52" s="72"/>
      <c r="E52" s="72"/>
      <c r="G52" s="70">
        <v>29</v>
      </c>
      <c r="H52" s="73" t="s">
        <v>90</v>
      </c>
      <c r="I52" s="73"/>
      <c r="J52" s="70">
        <v>90</v>
      </c>
      <c r="K52" s="70">
        <v>70</v>
      </c>
      <c r="M52" s="75"/>
      <c r="N52" s="75"/>
      <c r="O52" s="75"/>
      <c r="P52" s="83"/>
      <c r="Q52" s="83"/>
      <c r="T52" s="56"/>
      <c r="U52" s="32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</row>
    <row r="53" spans="1:52" s="11" customFormat="1" ht="17.100000000000001" customHeight="1" thickBot="1" x14ac:dyDescent="0.3">
      <c r="A53" s="70"/>
      <c r="B53" s="73" t="s">
        <v>40</v>
      </c>
      <c r="C53" s="73"/>
      <c r="D53" s="72"/>
      <c r="E53" s="72"/>
      <c r="G53" s="70"/>
      <c r="H53" s="73" t="s">
        <v>91</v>
      </c>
      <c r="I53" s="73"/>
      <c r="J53" s="70"/>
      <c r="K53" s="70"/>
      <c r="M53" s="39" t="s">
        <v>163</v>
      </c>
      <c r="N53" s="13"/>
      <c r="P53" s="56"/>
      <c r="Q53" s="56"/>
      <c r="T53" s="56"/>
      <c r="U53" s="32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</row>
    <row r="54" spans="1:52" s="11" customFormat="1" ht="17.100000000000001" customHeight="1" thickBot="1" x14ac:dyDescent="0.3">
      <c r="A54" s="70"/>
      <c r="B54" s="73" t="s">
        <v>43</v>
      </c>
      <c r="C54" s="73"/>
      <c r="D54" s="72"/>
      <c r="E54" s="72"/>
      <c r="G54" s="70"/>
      <c r="H54" s="73" t="s">
        <v>92</v>
      </c>
      <c r="I54" s="73"/>
      <c r="J54" s="70"/>
      <c r="K54" s="70"/>
      <c r="M54" s="12"/>
      <c r="N54" s="15"/>
      <c r="P54" s="56"/>
      <c r="Q54" s="56"/>
      <c r="T54" s="56"/>
      <c r="U54" s="32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</row>
    <row r="55" spans="1:52" s="11" customFormat="1" ht="17.100000000000001" customHeight="1" thickBot="1" x14ac:dyDescent="0.45">
      <c r="A55" s="70">
        <v>20</v>
      </c>
      <c r="B55" s="73" t="s">
        <v>44</v>
      </c>
      <c r="C55" s="73"/>
      <c r="D55" s="72"/>
      <c r="E55" s="72"/>
      <c r="G55" s="70"/>
      <c r="H55" s="73" t="s">
        <v>93</v>
      </c>
      <c r="I55" s="73"/>
      <c r="J55" s="70"/>
      <c r="K55" s="70"/>
      <c r="M55" s="85" t="s">
        <v>175</v>
      </c>
      <c r="N55" s="85"/>
      <c r="O55" s="85"/>
      <c r="P55" s="85"/>
      <c r="Q55" s="85"/>
      <c r="T55" s="56"/>
      <c r="U55" s="32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</row>
    <row r="56" spans="1:52" s="11" customFormat="1" ht="17.100000000000001" customHeight="1" thickBot="1" x14ac:dyDescent="0.45">
      <c r="A56" s="70"/>
      <c r="B56" s="73" t="s">
        <v>45</v>
      </c>
      <c r="C56" s="73"/>
      <c r="D56" s="72"/>
      <c r="E56" s="72"/>
      <c r="G56" s="70"/>
      <c r="H56" s="73" t="s">
        <v>94</v>
      </c>
      <c r="I56" s="73"/>
      <c r="J56" s="70"/>
      <c r="K56" s="70"/>
      <c r="M56" s="85" t="s">
        <v>198</v>
      </c>
      <c r="N56" s="85"/>
      <c r="O56" s="85"/>
      <c r="P56" s="85"/>
      <c r="Q56" s="85"/>
      <c r="T56" s="56"/>
      <c r="U56" s="32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</row>
    <row r="57" spans="1:52" s="11" customFormat="1" ht="17.100000000000001" customHeight="1" thickBot="1" x14ac:dyDescent="0.3">
      <c r="A57" s="70"/>
      <c r="B57" s="73" t="s">
        <v>46</v>
      </c>
      <c r="C57" s="73"/>
      <c r="D57" s="72"/>
      <c r="E57" s="72"/>
      <c r="G57" s="70"/>
      <c r="H57" s="73" t="s">
        <v>95</v>
      </c>
      <c r="I57" s="73"/>
      <c r="J57" s="70"/>
      <c r="K57" s="70"/>
      <c r="M57" s="12"/>
      <c r="N57" s="15"/>
      <c r="P57" s="61"/>
      <c r="Q57" s="61"/>
      <c r="T57" s="56"/>
      <c r="U57" s="32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</row>
    <row r="58" spans="1:52" s="11" customFormat="1" ht="17.100000000000001" customHeight="1" thickBot="1" x14ac:dyDescent="0.3">
      <c r="A58" s="70">
        <v>21</v>
      </c>
      <c r="B58" s="73" t="s">
        <v>47</v>
      </c>
      <c r="C58" s="73"/>
      <c r="D58" s="72"/>
      <c r="E58" s="72"/>
      <c r="G58" s="70"/>
      <c r="H58" s="73" t="s">
        <v>96</v>
      </c>
      <c r="I58" s="73"/>
      <c r="J58" s="70"/>
      <c r="K58" s="70"/>
      <c r="M58" s="86" t="s">
        <v>174</v>
      </c>
      <c r="N58" s="86"/>
      <c r="O58" s="86"/>
      <c r="P58" s="86"/>
      <c r="Q58" s="86"/>
      <c r="T58" s="56"/>
      <c r="U58" s="32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</row>
    <row r="59" spans="1:52" s="11" customFormat="1" ht="17.100000000000001" customHeight="1" thickBot="1" x14ac:dyDescent="0.3">
      <c r="A59" s="70"/>
      <c r="B59" s="73" t="s">
        <v>48</v>
      </c>
      <c r="C59" s="73"/>
      <c r="D59" s="72"/>
      <c r="E59" s="72"/>
      <c r="G59" s="70"/>
      <c r="H59" s="73" t="s">
        <v>97</v>
      </c>
      <c r="I59" s="73"/>
      <c r="J59" s="70"/>
      <c r="K59" s="70"/>
      <c r="M59" s="86"/>
      <c r="N59" s="86"/>
      <c r="O59" s="86"/>
      <c r="P59" s="86"/>
      <c r="Q59" s="86"/>
      <c r="T59" s="56"/>
      <c r="U59" s="32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</row>
    <row r="60" spans="1:52" s="11" customFormat="1" ht="17.100000000000001" customHeight="1" thickBot="1" x14ac:dyDescent="0.3">
      <c r="A60" s="70"/>
      <c r="B60" s="73" t="s">
        <v>49</v>
      </c>
      <c r="C60" s="73"/>
      <c r="D60" s="72"/>
      <c r="E60" s="72"/>
      <c r="G60" s="70"/>
      <c r="H60" s="73" t="s">
        <v>98</v>
      </c>
      <c r="I60" s="73"/>
      <c r="J60" s="70"/>
      <c r="K60" s="70"/>
      <c r="M60" s="68"/>
      <c r="N60" s="69"/>
      <c r="O60" s="69"/>
      <c r="P60" s="68"/>
      <c r="Q60" s="68"/>
      <c r="T60" s="56"/>
      <c r="U60" s="32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</row>
    <row r="61" spans="1:52" s="11" customFormat="1" ht="17.100000000000001" customHeight="1" thickBot="1" x14ac:dyDescent="0.3">
      <c r="A61" s="70"/>
      <c r="B61" s="73" t="s">
        <v>50</v>
      </c>
      <c r="C61" s="73"/>
      <c r="D61" s="72"/>
      <c r="E61" s="72"/>
      <c r="G61" s="70"/>
      <c r="H61" s="73" t="s">
        <v>99</v>
      </c>
      <c r="I61" s="73"/>
      <c r="J61" s="70"/>
      <c r="K61" s="70"/>
      <c r="M61" s="68"/>
      <c r="N61" s="69"/>
      <c r="O61" s="69"/>
      <c r="P61" s="68"/>
      <c r="Q61" s="68"/>
      <c r="T61" s="56"/>
      <c r="U61" s="32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</row>
    <row r="62" spans="1:52" s="11" customFormat="1" ht="17.100000000000001" customHeight="1" thickBot="1" x14ac:dyDescent="0.3">
      <c r="A62" s="70"/>
      <c r="B62" s="73" t="s">
        <v>51</v>
      </c>
      <c r="C62" s="73"/>
      <c r="D62" s="72"/>
      <c r="E62" s="72"/>
      <c r="G62" s="70"/>
      <c r="H62" s="73" t="s">
        <v>100</v>
      </c>
      <c r="I62" s="73"/>
      <c r="J62" s="70"/>
      <c r="K62" s="70"/>
      <c r="M62" s="87" t="s">
        <v>177</v>
      </c>
      <c r="N62" s="87"/>
      <c r="O62" s="87"/>
      <c r="P62" s="87"/>
      <c r="Q62" s="87"/>
      <c r="T62" s="56"/>
      <c r="U62" s="32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</row>
    <row r="63" spans="1:52" ht="6" customHeight="1" x14ac:dyDescent="0.25">
      <c r="M63" s="61"/>
      <c r="N63" s="61"/>
      <c r="O63" s="61"/>
      <c r="P63" s="61"/>
      <c r="Q63" s="61"/>
    </row>
    <row r="64" spans="1:52" x14ac:dyDescent="0.25">
      <c r="B64" s="4"/>
      <c r="E64" s="18"/>
      <c r="F64" s="3"/>
      <c r="H64" s="2"/>
      <c r="M64" s="61"/>
      <c r="P64" s="61"/>
      <c r="Q64" s="61"/>
    </row>
    <row r="65" spans="2:8" x14ac:dyDescent="0.25">
      <c r="B65" s="2"/>
      <c r="H65" s="2"/>
    </row>
    <row r="66" spans="2:8" x14ac:dyDescent="0.25">
      <c r="B66" s="2"/>
      <c r="H66" s="2"/>
    </row>
  </sheetData>
  <mergeCells count="250">
    <mergeCell ref="B54:C54"/>
    <mergeCell ref="H54:I54"/>
    <mergeCell ref="H60:I60"/>
    <mergeCell ref="B61:C61"/>
    <mergeCell ref="H61:I61"/>
    <mergeCell ref="B62:C62"/>
    <mergeCell ref="H62:I62"/>
    <mergeCell ref="M62:Q62"/>
    <mergeCell ref="A58:A62"/>
    <mergeCell ref="B58:C58"/>
    <mergeCell ref="D58:D62"/>
    <mergeCell ref="E58:E62"/>
    <mergeCell ref="H58:I58"/>
    <mergeCell ref="M58:Q58"/>
    <mergeCell ref="B59:C59"/>
    <mergeCell ref="H59:I59"/>
    <mergeCell ref="M59:Q59"/>
    <mergeCell ref="B60:C60"/>
    <mergeCell ref="A55:A57"/>
    <mergeCell ref="B55:C55"/>
    <mergeCell ref="D55:D57"/>
    <mergeCell ref="E55:E57"/>
    <mergeCell ref="H55:I55"/>
    <mergeCell ref="Q51:Q52"/>
    <mergeCell ref="A52:A54"/>
    <mergeCell ref="B52:C52"/>
    <mergeCell ref="D52:D54"/>
    <mergeCell ref="E52:E54"/>
    <mergeCell ref="G52:G62"/>
    <mergeCell ref="H52:I52"/>
    <mergeCell ref="J52:J62"/>
    <mergeCell ref="K52:K62"/>
    <mergeCell ref="B53:C53"/>
    <mergeCell ref="A49:A51"/>
    <mergeCell ref="Q14:Q50"/>
    <mergeCell ref="M55:Q55"/>
    <mergeCell ref="B56:C56"/>
    <mergeCell ref="H56:I56"/>
    <mergeCell ref="M56:Q56"/>
    <mergeCell ref="B57:C57"/>
    <mergeCell ref="H57:I57"/>
    <mergeCell ref="H53:I53"/>
    <mergeCell ref="B51:C51"/>
    <mergeCell ref="H51:I51"/>
    <mergeCell ref="M51:O52"/>
    <mergeCell ref="P51:P52"/>
    <mergeCell ref="B48:C48"/>
    <mergeCell ref="P14:P50"/>
    <mergeCell ref="B15:C15"/>
    <mergeCell ref="H15:I15"/>
    <mergeCell ref="B16:C16"/>
    <mergeCell ref="H16:I16"/>
    <mergeCell ref="H46:I46"/>
    <mergeCell ref="N46:O46"/>
    <mergeCell ref="H43:I43"/>
    <mergeCell ref="J43:J51"/>
    <mergeCell ref="N39:O39"/>
    <mergeCell ref="B46:C46"/>
    <mergeCell ref="E35:E36"/>
    <mergeCell ref="H35:I35"/>
    <mergeCell ref="N35:O35"/>
    <mergeCell ref="B36:C36"/>
    <mergeCell ref="N32:O32"/>
    <mergeCell ref="H50:I50"/>
    <mergeCell ref="N50:O50"/>
    <mergeCell ref="B43:C43"/>
    <mergeCell ref="G43:G51"/>
    <mergeCell ref="H48:I48"/>
    <mergeCell ref="N48:O48"/>
    <mergeCell ref="B49:C49"/>
    <mergeCell ref="D49:D51"/>
    <mergeCell ref="E49:E51"/>
    <mergeCell ref="H49:I49"/>
    <mergeCell ref="N49:O49"/>
    <mergeCell ref="B50:C50"/>
    <mergeCell ref="N40:O40"/>
    <mergeCell ref="B41:C41"/>
    <mergeCell ref="H41:I41"/>
    <mergeCell ref="N41:O41"/>
    <mergeCell ref="A47:A48"/>
    <mergeCell ref="B47:C47"/>
    <mergeCell ref="D47:D48"/>
    <mergeCell ref="E47:E48"/>
    <mergeCell ref="H47:I47"/>
    <mergeCell ref="N47:O47"/>
    <mergeCell ref="K43:K51"/>
    <mergeCell ref="N43:O43"/>
    <mergeCell ref="A44:A46"/>
    <mergeCell ref="B44:C44"/>
    <mergeCell ref="D44:D46"/>
    <mergeCell ref="E44:E46"/>
    <mergeCell ref="H44:I44"/>
    <mergeCell ref="N44:O44"/>
    <mergeCell ref="B45:C45"/>
    <mergeCell ref="H45:I45"/>
    <mergeCell ref="A42:A43"/>
    <mergeCell ref="B42:C42"/>
    <mergeCell ref="D42:D43"/>
    <mergeCell ref="E42:E43"/>
    <mergeCell ref="A37:A39"/>
    <mergeCell ref="B37:C37"/>
    <mergeCell ref="D37:D39"/>
    <mergeCell ref="E37:E39"/>
    <mergeCell ref="H37:I37"/>
    <mergeCell ref="N37:O37"/>
    <mergeCell ref="B38:C38"/>
    <mergeCell ref="H38:I38"/>
    <mergeCell ref="N45:O45"/>
    <mergeCell ref="N38:O38"/>
    <mergeCell ref="B39:C39"/>
    <mergeCell ref="G36:G42"/>
    <mergeCell ref="H36:I36"/>
    <mergeCell ref="J36:J42"/>
    <mergeCell ref="K36:K42"/>
    <mergeCell ref="N36:O36"/>
    <mergeCell ref="H39:I39"/>
    <mergeCell ref="H42:I42"/>
    <mergeCell ref="N42:O42"/>
    <mergeCell ref="A40:A41"/>
    <mergeCell ref="B40:C40"/>
    <mergeCell ref="D40:D41"/>
    <mergeCell ref="E40:E41"/>
    <mergeCell ref="H40:I40"/>
    <mergeCell ref="N33:O33"/>
    <mergeCell ref="B34:C34"/>
    <mergeCell ref="H34:I34"/>
    <mergeCell ref="N34:O34"/>
    <mergeCell ref="J30:J35"/>
    <mergeCell ref="K30:K35"/>
    <mergeCell ref="N30:O30"/>
    <mergeCell ref="B31:C31"/>
    <mergeCell ref="H31:I31"/>
    <mergeCell ref="N31:O31"/>
    <mergeCell ref="B32:C32"/>
    <mergeCell ref="D32:D34"/>
    <mergeCell ref="E32:E34"/>
    <mergeCell ref="H32:I32"/>
    <mergeCell ref="A30:A31"/>
    <mergeCell ref="B30:C30"/>
    <mergeCell ref="D30:D31"/>
    <mergeCell ref="E30:E31"/>
    <mergeCell ref="G30:G35"/>
    <mergeCell ref="H30:I30"/>
    <mergeCell ref="A32:A34"/>
    <mergeCell ref="A35:A36"/>
    <mergeCell ref="B35:C35"/>
    <mergeCell ref="D35:D36"/>
    <mergeCell ref="B33:C33"/>
    <mergeCell ref="H33:I33"/>
    <mergeCell ref="A26:A27"/>
    <mergeCell ref="B26:C26"/>
    <mergeCell ref="D26:D27"/>
    <mergeCell ref="E26:E27"/>
    <mergeCell ref="H26:I26"/>
    <mergeCell ref="N26:O26"/>
    <mergeCell ref="B27:C27"/>
    <mergeCell ref="H27:I27"/>
    <mergeCell ref="N27:O27"/>
    <mergeCell ref="G25:G29"/>
    <mergeCell ref="H25:I25"/>
    <mergeCell ref="J25:J29"/>
    <mergeCell ref="K25:K29"/>
    <mergeCell ref="N25:O25"/>
    <mergeCell ref="A28:A29"/>
    <mergeCell ref="B28:C28"/>
    <mergeCell ref="D28:D29"/>
    <mergeCell ref="E28:E29"/>
    <mergeCell ref="H28:I28"/>
    <mergeCell ref="N28:O28"/>
    <mergeCell ref="B29:C29"/>
    <mergeCell ref="H29:I29"/>
    <mergeCell ref="N29:O29"/>
    <mergeCell ref="B21:C21"/>
    <mergeCell ref="H21:I21"/>
    <mergeCell ref="N21:O21"/>
    <mergeCell ref="A22:A23"/>
    <mergeCell ref="B22:C22"/>
    <mergeCell ref="D22:D23"/>
    <mergeCell ref="E22:E23"/>
    <mergeCell ref="G22:G24"/>
    <mergeCell ref="H22:I22"/>
    <mergeCell ref="J22:J24"/>
    <mergeCell ref="N24:O24"/>
    <mergeCell ref="K22:K24"/>
    <mergeCell ref="N22:O22"/>
    <mergeCell ref="B23:C23"/>
    <mergeCell ref="H23:I23"/>
    <mergeCell ref="N23:O23"/>
    <mergeCell ref="A24:A25"/>
    <mergeCell ref="B24:C24"/>
    <mergeCell ref="D24:D25"/>
    <mergeCell ref="E24:E25"/>
    <mergeCell ref="H24:I24"/>
    <mergeCell ref="B25:C25"/>
    <mergeCell ref="A19:A20"/>
    <mergeCell ref="B19:C19"/>
    <mergeCell ref="D19:D20"/>
    <mergeCell ref="E19:E20"/>
    <mergeCell ref="H19:I19"/>
    <mergeCell ref="N19:O19"/>
    <mergeCell ref="B20:C20"/>
    <mergeCell ref="H20:I20"/>
    <mergeCell ref="N20:O20"/>
    <mergeCell ref="A17:A18"/>
    <mergeCell ref="B17:C17"/>
    <mergeCell ref="D17:D18"/>
    <mergeCell ref="E17:E18"/>
    <mergeCell ref="H17:I17"/>
    <mergeCell ref="N17:O17"/>
    <mergeCell ref="B18:C18"/>
    <mergeCell ref="G18:G21"/>
    <mergeCell ref="H18:I18"/>
    <mergeCell ref="J18:J21"/>
    <mergeCell ref="J14:J17"/>
    <mergeCell ref="K14:K17"/>
    <mergeCell ref="M14:M50"/>
    <mergeCell ref="N14:O14"/>
    <mergeCell ref="N15:O15"/>
    <mergeCell ref="N16:O16"/>
    <mergeCell ref="K18:K21"/>
    <mergeCell ref="N18:O18"/>
    <mergeCell ref="A14:A15"/>
    <mergeCell ref="B14:C14"/>
    <mergeCell ref="D14:D15"/>
    <mergeCell ref="E14:E15"/>
    <mergeCell ref="G14:G17"/>
    <mergeCell ref="H14:I14"/>
    <mergeCell ref="U11:U12"/>
    <mergeCell ref="V11:AY11"/>
    <mergeCell ref="AZ11:AZ12"/>
    <mergeCell ref="A8:B8"/>
    <mergeCell ref="M8:N8"/>
    <mergeCell ref="A9:B9"/>
    <mergeCell ref="M9:N9"/>
    <mergeCell ref="A11:A12"/>
    <mergeCell ref="B11:C12"/>
    <mergeCell ref="D11:E11"/>
    <mergeCell ref="G11:G12"/>
    <mergeCell ref="H11:I12"/>
    <mergeCell ref="J11:K11"/>
    <mergeCell ref="A1:Q1"/>
    <mergeCell ref="A2:Q2"/>
    <mergeCell ref="A3:Q3"/>
    <mergeCell ref="A4:Q4"/>
    <mergeCell ref="A6:Q6"/>
    <mergeCell ref="A7:B7"/>
    <mergeCell ref="M7:N7"/>
    <mergeCell ref="M11:M12"/>
    <mergeCell ref="N11:O12"/>
    <mergeCell ref="P11:Q11"/>
  </mergeCells>
  <pageMargins left="0.35" right="0.25" top="0.31" bottom="0.74803149606299213" header="0.31496062992125984" footer="0.31496062992125984"/>
  <pageSetup paperSize="5" scale="85" orientation="portrait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6"/>
  <sheetViews>
    <sheetView topLeftCell="A40" zoomScaleNormal="100" workbookViewId="0">
      <selection activeCell="R14" sqref="R14"/>
    </sheetView>
  </sheetViews>
  <sheetFormatPr defaultRowHeight="15" x14ac:dyDescent="0.25"/>
  <cols>
    <col min="1" max="1" width="4.7109375" style="56" customWidth="1"/>
    <col min="2" max="2" width="18.7109375" customWidth="1"/>
    <col min="3" max="3" width="4.7109375" customWidth="1"/>
    <col min="4" max="5" width="4.7109375" style="56" customWidth="1"/>
    <col min="6" max="6" width="2.28515625" customWidth="1"/>
    <col min="7" max="7" width="4.7109375" style="56" customWidth="1"/>
    <col min="8" max="8" width="18.7109375" customWidth="1"/>
    <col min="9" max="9" width="4.7109375" customWidth="1"/>
    <col min="10" max="11" width="4.7109375" style="56" customWidth="1"/>
    <col min="12" max="12" width="2.28515625" customWidth="1"/>
    <col min="13" max="13" width="4.7109375" style="56" customWidth="1"/>
    <col min="14" max="15" width="10.7109375" customWidth="1"/>
    <col min="16" max="17" width="4.7109375" style="56" customWidth="1"/>
    <col min="20" max="20" width="4.42578125" style="5" customWidth="1"/>
    <col min="21" max="21" width="12.28515625" style="31" customWidth="1"/>
    <col min="22" max="39" width="4.7109375" style="56" customWidth="1"/>
    <col min="40" max="51" width="4.7109375" style="5" customWidth="1"/>
    <col min="52" max="52" width="9.140625" style="5"/>
  </cols>
  <sheetData>
    <row r="1" spans="1:52" ht="25.5" customHeight="1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52" ht="21" customHeight="1" x14ac:dyDescent="0.25">
      <c r="A2" s="80" t="s">
        <v>157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</row>
    <row r="3" spans="1:52" ht="18" customHeight="1" x14ac:dyDescent="0.25">
      <c r="A3" s="77" t="s">
        <v>158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52" ht="15" customHeight="1" x14ac:dyDescent="0.25">
      <c r="A4" s="78" t="s">
        <v>159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</row>
    <row r="5" spans="1:52" ht="24.75" customHeight="1" x14ac:dyDescent="0.25"/>
    <row r="6" spans="1:52" ht="20.100000000000001" customHeight="1" x14ac:dyDescent="0.3">
      <c r="A6" s="79" t="s">
        <v>138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</row>
    <row r="7" spans="1:52" ht="15" customHeight="1" x14ac:dyDescent="0.25">
      <c r="A7" s="91" t="s">
        <v>154</v>
      </c>
      <c r="B7" s="91"/>
      <c r="C7" s="9" t="s">
        <v>188</v>
      </c>
      <c r="D7" s="51"/>
      <c r="E7" s="51"/>
      <c r="F7" s="56"/>
      <c r="J7" s="51"/>
      <c r="M7" s="92" t="s">
        <v>139</v>
      </c>
      <c r="N7" s="92"/>
      <c r="O7" s="10" t="s">
        <v>155</v>
      </c>
    </row>
    <row r="8" spans="1:52" ht="15" customHeight="1" x14ac:dyDescent="0.25">
      <c r="A8" s="91" t="s">
        <v>140</v>
      </c>
      <c r="B8" s="91"/>
      <c r="C8" s="9">
        <v>2202101</v>
      </c>
      <c r="D8" s="51"/>
      <c r="E8" s="51"/>
      <c r="F8" s="56"/>
      <c r="J8" s="51"/>
      <c r="M8" s="92" t="s">
        <v>141</v>
      </c>
      <c r="N8" s="92"/>
      <c r="O8" s="10" t="s">
        <v>176</v>
      </c>
    </row>
    <row r="9" spans="1:52" ht="15" customHeight="1" x14ac:dyDescent="0.25">
      <c r="A9" s="91" t="s">
        <v>173</v>
      </c>
      <c r="B9" s="91"/>
      <c r="C9" s="38" t="s">
        <v>160</v>
      </c>
      <c r="D9" s="51"/>
      <c r="E9" s="51"/>
      <c r="F9" s="56"/>
      <c r="I9" s="8"/>
      <c r="J9" s="51"/>
      <c r="K9" s="6"/>
      <c r="L9" s="8"/>
      <c r="M9" s="92" t="s">
        <v>142</v>
      </c>
      <c r="N9" s="92"/>
      <c r="O9" s="10" t="s">
        <v>156</v>
      </c>
      <c r="P9" s="6"/>
      <c r="Q9" s="6"/>
    </row>
    <row r="10" spans="1:52" ht="4.5" customHeight="1" thickBot="1" x14ac:dyDescent="0.3"/>
    <row r="11" spans="1:52" ht="16.5" thickTop="1" thickBot="1" x14ac:dyDescent="0.3">
      <c r="A11" s="81" t="s">
        <v>0</v>
      </c>
      <c r="B11" s="81" t="s">
        <v>1</v>
      </c>
      <c r="C11" s="81"/>
      <c r="D11" s="81" t="s">
        <v>2</v>
      </c>
      <c r="E11" s="81"/>
      <c r="F11" s="19"/>
      <c r="G11" s="81" t="s">
        <v>0</v>
      </c>
      <c r="H11" s="81" t="s">
        <v>1</v>
      </c>
      <c r="I11" s="81"/>
      <c r="J11" s="81" t="s">
        <v>2</v>
      </c>
      <c r="K11" s="81"/>
      <c r="L11" s="19"/>
      <c r="M11" s="81" t="s">
        <v>0</v>
      </c>
      <c r="N11" s="81" t="s">
        <v>1</v>
      </c>
      <c r="O11" s="81"/>
      <c r="P11" s="81" t="s">
        <v>2</v>
      </c>
      <c r="Q11" s="81"/>
      <c r="U11" s="89"/>
      <c r="V11" s="88" t="s">
        <v>153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 t="s">
        <v>146</v>
      </c>
    </row>
    <row r="12" spans="1:52" ht="12" customHeight="1" thickTop="1" thickBot="1" x14ac:dyDescent="0.3">
      <c r="A12" s="81"/>
      <c r="B12" s="81"/>
      <c r="C12" s="81"/>
      <c r="D12" s="53" t="s">
        <v>143</v>
      </c>
      <c r="E12" s="53" t="s">
        <v>144</v>
      </c>
      <c r="F12" s="19"/>
      <c r="G12" s="81"/>
      <c r="H12" s="81"/>
      <c r="I12" s="81"/>
      <c r="J12" s="53" t="s">
        <v>143</v>
      </c>
      <c r="K12" s="53" t="s">
        <v>144</v>
      </c>
      <c r="L12" s="19"/>
      <c r="M12" s="81"/>
      <c r="N12" s="81"/>
      <c r="O12" s="81"/>
      <c r="P12" s="53" t="s">
        <v>143</v>
      </c>
      <c r="Q12" s="53" t="s">
        <v>144</v>
      </c>
      <c r="U12" s="90"/>
      <c r="V12" s="52">
        <v>1</v>
      </c>
      <c r="W12" s="52">
        <v>2</v>
      </c>
      <c r="X12" s="52">
        <v>3</v>
      </c>
      <c r="Y12" s="52">
        <v>4</v>
      </c>
      <c r="Z12" s="52">
        <v>5</v>
      </c>
      <c r="AA12" s="52">
        <v>6</v>
      </c>
      <c r="AB12" s="52">
        <v>7</v>
      </c>
      <c r="AC12" s="52">
        <v>8</v>
      </c>
      <c r="AD12" s="52">
        <v>9</v>
      </c>
      <c r="AE12" s="52">
        <v>10</v>
      </c>
      <c r="AF12" s="52">
        <v>11</v>
      </c>
      <c r="AG12" s="52">
        <v>12</v>
      </c>
      <c r="AH12" s="52">
        <v>13</v>
      </c>
      <c r="AI12" s="52">
        <v>14</v>
      </c>
      <c r="AJ12" s="52">
        <v>15</v>
      </c>
      <c r="AK12" s="52">
        <v>16</v>
      </c>
      <c r="AL12" s="52">
        <v>17</v>
      </c>
      <c r="AM12" s="52">
        <v>18</v>
      </c>
      <c r="AN12" s="52">
        <v>19</v>
      </c>
      <c r="AO12" s="52">
        <v>20</v>
      </c>
      <c r="AP12" s="52">
        <v>21</v>
      </c>
      <c r="AQ12" s="52">
        <v>22</v>
      </c>
      <c r="AR12" s="52">
        <v>23</v>
      </c>
      <c r="AS12" s="52">
        <v>24</v>
      </c>
      <c r="AT12" s="52">
        <v>25</v>
      </c>
      <c r="AU12" s="52">
        <v>26</v>
      </c>
      <c r="AV12" s="52">
        <v>27</v>
      </c>
      <c r="AW12" s="52">
        <v>28</v>
      </c>
      <c r="AX12" s="52">
        <v>29</v>
      </c>
      <c r="AY12" s="52">
        <v>30</v>
      </c>
      <c r="AZ12" s="88"/>
    </row>
    <row r="13" spans="1:52" ht="3.75" customHeight="1" thickTop="1" thickBot="1" x14ac:dyDescent="0.3"/>
    <row r="14" spans="1:52" s="11" customFormat="1" ht="17.100000000000001" customHeight="1" thickBot="1" x14ac:dyDescent="0.3">
      <c r="A14" s="70">
        <v>1</v>
      </c>
      <c r="B14" s="73" t="s">
        <v>3</v>
      </c>
      <c r="C14" s="73"/>
      <c r="D14" s="72"/>
      <c r="E14" s="72"/>
      <c r="G14" s="70">
        <v>22</v>
      </c>
      <c r="H14" s="73" t="s">
        <v>52</v>
      </c>
      <c r="I14" s="73"/>
      <c r="J14" s="72"/>
      <c r="K14" s="72"/>
      <c r="M14" s="70">
        <v>30</v>
      </c>
      <c r="N14" s="73" t="s">
        <v>101</v>
      </c>
      <c r="O14" s="73"/>
      <c r="P14" s="70">
        <v>84</v>
      </c>
      <c r="Q14" s="70">
        <v>60</v>
      </c>
      <c r="T14" s="56"/>
      <c r="U14" s="34" t="s">
        <v>151</v>
      </c>
      <c r="V14" s="52">
        <f>D14</f>
        <v>0</v>
      </c>
      <c r="W14" s="52">
        <f>D16</f>
        <v>0</v>
      </c>
      <c r="X14" s="52">
        <f>D17</f>
        <v>0</v>
      </c>
      <c r="Y14" s="52">
        <f>D19</f>
        <v>0</v>
      </c>
      <c r="Z14" s="52">
        <f>D21</f>
        <v>0</v>
      </c>
      <c r="AA14" s="52">
        <f>D22</f>
        <v>0</v>
      </c>
      <c r="AB14" s="52">
        <f>D24</f>
        <v>0</v>
      </c>
      <c r="AC14" s="52">
        <f>D26</f>
        <v>0</v>
      </c>
      <c r="AD14" s="52">
        <f>D28</f>
        <v>0</v>
      </c>
      <c r="AE14" s="52">
        <f>D30</f>
        <v>0</v>
      </c>
      <c r="AF14" s="52">
        <f>D32</f>
        <v>0</v>
      </c>
      <c r="AG14" s="52">
        <f>D35</f>
        <v>0</v>
      </c>
      <c r="AH14" s="52">
        <f>D37</f>
        <v>0</v>
      </c>
      <c r="AI14" s="52">
        <f>D40</f>
        <v>0</v>
      </c>
      <c r="AJ14" s="52">
        <f>D42</f>
        <v>0</v>
      </c>
      <c r="AK14" s="52">
        <f>D44</f>
        <v>0</v>
      </c>
      <c r="AL14" s="52">
        <f>D47</f>
        <v>0</v>
      </c>
      <c r="AM14" s="52">
        <f>D49</f>
        <v>0</v>
      </c>
      <c r="AN14" s="52">
        <f>D52</f>
        <v>0</v>
      </c>
      <c r="AO14" s="52">
        <f>D55</f>
        <v>0</v>
      </c>
      <c r="AP14" s="52">
        <f>D58</f>
        <v>0</v>
      </c>
      <c r="AQ14" s="52">
        <f>J14</f>
        <v>0</v>
      </c>
      <c r="AR14" s="52">
        <f>J18</f>
        <v>0</v>
      </c>
      <c r="AS14" s="52">
        <f>J22</f>
        <v>0</v>
      </c>
      <c r="AT14" s="52">
        <f>J25</f>
        <v>0</v>
      </c>
      <c r="AU14" s="52">
        <f>J30</f>
        <v>0</v>
      </c>
      <c r="AV14" s="52">
        <f>J36</f>
        <v>0</v>
      </c>
      <c r="AW14" s="52">
        <f>J43</f>
        <v>0</v>
      </c>
      <c r="AX14" s="52">
        <f>J52</f>
        <v>85</v>
      </c>
      <c r="AY14" s="52">
        <f>P14</f>
        <v>84</v>
      </c>
      <c r="AZ14" s="35">
        <f>AVERAGEIF(V14:AY14,"&gt;0")</f>
        <v>84.5</v>
      </c>
    </row>
    <row r="15" spans="1:52" s="11" customFormat="1" ht="17.100000000000001" customHeight="1" thickBot="1" x14ac:dyDescent="0.3">
      <c r="A15" s="70"/>
      <c r="B15" s="73" t="s">
        <v>4</v>
      </c>
      <c r="C15" s="73"/>
      <c r="D15" s="72"/>
      <c r="E15" s="72"/>
      <c r="G15" s="70"/>
      <c r="H15" s="73" t="s">
        <v>53</v>
      </c>
      <c r="I15" s="73"/>
      <c r="J15" s="72"/>
      <c r="K15" s="72"/>
      <c r="M15" s="70"/>
      <c r="N15" s="73" t="s">
        <v>102</v>
      </c>
      <c r="O15" s="73"/>
      <c r="P15" s="70"/>
      <c r="Q15" s="70"/>
      <c r="T15" s="56"/>
      <c r="U15" s="34" t="s">
        <v>152</v>
      </c>
      <c r="V15" s="52">
        <f>E14</f>
        <v>0</v>
      </c>
      <c r="W15" s="52">
        <f>E16</f>
        <v>0</v>
      </c>
      <c r="X15" s="52">
        <f>E17</f>
        <v>0</v>
      </c>
      <c r="Y15" s="52">
        <f>E19</f>
        <v>0</v>
      </c>
      <c r="Z15" s="52">
        <f>E21</f>
        <v>0</v>
      </c>
      <c r="AA15" s="52">
        <f>E22</f>
        <v>0</v>
      </c>
      <c r="AB15" s="52">
        <f>E24</f>
        <v>0</v>
      </c>
      <c r="AC15" s="52">
        <f>E26</f>
        <v>0</v>
      </c>
      <c r="AD15" s="52">
        <f>E28</f>
        <v>0</v>
      </c>
      <c r="AE15" s="52">
        <f>E30</f>
        <v>0</v>
      </c>
      <c r="AF15" s="52">
        <f>E32</f>
        <v>0</v>
      </c>
      <c r="AG15" s="52">
        <f>E35</f>
        <v>0</v>
      </c>
      <c r="AH15" s="52">
        <f>E37</f>
        <v>0</v>
      </c>
      <c r="AI15" s="52">
        <f>E40</f>
        <v>0</v>
      </c>
      <c r="AJ15" s="52">
        <f>E42</f>
        <v>0</v>
      </c>
      <c r="AK15" s="52">
        <f>E44</f>
        <v>0</v>
      </c>
      <c r="AL15" s="52">
        <f>E47</f>
        <v>0</v>
      </c>
      <c r="AM15" s="52">
        <f>E49</f>
        <v>0</v>
      </c>
      <c r="AN15" s="52">
        <f>E52</f>
        <v>0</v>
      </c>
      <c r="AO15" s="52">
        <f>E55</f>
        <v>0</v>
      </c>
      <c r="AP15" s="52">
        <f>E58</f>
        <v>0</v>
      </c>
      <c r="AQ15" s="52">
        <f>K14</f>
        <v>0</v>
      </c>
      <c r="AR15" s="52">
        <f>K18</f>
        <v>0</v>
      </c>
      <c r="AS15" s="52">
        <f>K22</f>
        <v>0</v>
      </c>
      <c r="AT15" s="52">
        <f>K25</f>
        <v>0</v>
      </c>
      <c r="AU15" s="52">
        <f>K30</f>
        <v>0</v>
      </c>
      <c r="AV15" s="52">
        <f>K36</f>
        <v>0</v>
      </c>
      <c r="AW15" s="52">
        <f>K43</f>
        <v>0</v>
      </c>
      <c r="AX15" s="52">
        <f>K52</f>
        <v>60</v>
      </c>
      <c r="AY15" s="52">
        <f>Q14</f>
        <v>60</v>
      </c>
      <c r="AZ15" s="35">
        <f>AVERAGEIF(V15:AY15,"&gt;0")</f>
        <v>60</v>
      </c>
    </row>
    <row r="16" spans="1:52" s="11" customFormat="1" ht="17.100000000000001" customHeight="1" thickBot="1" x14ac:dyDescent="0.3">
      <c r="A16" s="55">
        <v>2</v>
      </c>
      <c r="B16" s="73" t="s">
        <v>6</v>
      </c>
      <c r="C16" s="73"/>
      <c r="D16" s="54"/>
      <c r="E16" s="54"/>
      <c r="G16" s="70"/>
      <c r="H16" s="73" t="s">
        <v>54</v>
      </c>
      <c r="I16" s="73"/>
      <c r="J16" s="72"/>
      <c r="K16" s="72"/>
      <c r="M16" s="70"/>
      <c r="N16" s="73" t="s">
        <v>103</v>
      </c>
      <c r="O16" s="73"/>
      <c r="P16" s="70"/>
      <c r="Q16" s="70"/>
      <c r="T16" s="56"/>
      <c r="U16" s="32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</row>
    <row r="17" spans="1:52" s="11" customFormat="1" ht="17.100000000000001" customHeight="1" thickBot="1" x14ac:dyDescent="0.3">
      <c r="A17" s="70">
        <v>3</v>
      </c>
      <c r="B17" s="73" t="s">
        <v>5</v>
      </c>
      <c r="C17" s="73"/>
      <c r="D17" s="72"/>
      <c r="E17" s="72"/>
      <c r="G17" s="70"/>
      <c r="H17" s="73" t="s">
        <v>55</v>
      </c>
      <c r="I17" s="73"/>
      <c r="J17" s="72"/>
      <c r="K17" s="72"/>
      <c r="M17" s="70"/>
      <c r="N17" s="73" t="s">
        <v>104</v>
      </c>
      <c r="O17" s="73"/>
      <c r="P17" s="70"/>
      <c r="Q17" s="70"/>
      <c r="T17" s="56"/>
      <c r="U17" s="32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</row>
    <row r="18" spans="1:52" s="11" customFormat="1" ht="17.100000000000001" customHeight="1" thickBot="1" x14ac:dyDescent="0.3">
      <c r="A18" s="70"/>
      <c r="B18" s="73" t="s">
        <v>7</v>
      </c>
      <c r="C18" s="73"/>
      <c r="D18" s="72"/>
      <c r="E18" s="72"/>
      <c r="G18" s="70">
        <v>23</v>
      </c>
      <c r="H18" s="73" t="s">
        <v>56</v>
      </c>
      <c r="I18" s="73"/>
      <c r="J18" s="70"/>
      <c r="K18" s="70"/>
      <c r="M18" s="70"/>
      <c r="N18" s="73" t="s">
        <v>105</v>
      </c>
      <c r="O18" s="73"/>
      <c r="P18" s="70"/>
      <c r="Q18" s="70"/>
      <c r="T18" s="56"/>
      <c r="U18" s="32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</row>
    <row r="19" spans="1:52" s="11" customFormat="1" ht="17.100000000000001" customHeight="1" thickBot="1" x14ac:dyDescent="0.3">
      <c r="A19" s="70">
        <v>4</v>
      </c>
      <c r="B19" s="73" t="s">
        <v>8</v>
      </c>
      <c r="C19" s="73"/>
      <c r="D19" s="72"/>
      <c r="E19" s="70"/>
      <c r="G19" s="70"/>
      <c r="H19" s="73" t="s">
        <v>57</v>
      </c>
      <c r="I19" s="73"/>
      <c r="J19" s="70"/>
      <c r="K19" s="70"/>
      <c r="M19" s="70"/>
      <c r="N19" s="73" t="s">
        <v>106</v>
      </c>
      <c r="O19" s="73"/>
      <c r="P19" s="70"/>
      <c r="Q19" s="70"/>
      <c r="T19" s="56"/>
      <c r="U19" s="32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</row>
    <row r="20" spans="1:52" s="11" customFormat="1" ht="17.100000000000001" customHeight="1" thickBot="1" x14ac:dyDescent="0.3">
      <c r="A20" s="70"/>
      <c r="B20" s="73" t="s">
        <v>9</v>
      </c>
      <c r="C20" s="73"/>
      <c r="D20" s="72"/>
      <c r="E20" s="70"/>
      <c r="G20" s="70"/>
      <c r="H20" s="73" t="s">
        <v>58</v>
      </c>
      <c r="I20" s="73"/>
      <c r="J20" s="70"/>
      <c r="K20" s="70"/>
      <c r="M20" s="70"/>
      <c r="N20" s="73" t="s">
        <v>107</v>
      </c>
      <c r="O20" s="73"/>
      <c r="P20" s="70"/>
      <c r="Q20" s="70"/>
      <c r="T20" s="56"/>
      <c r="U20" s="32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</row>
    <row r="21" spans="1:52" s="11" customFormat="1" ht="17.100000000000001" customHeight="1" thickBot="1" x14ac:dyDescent="0.3">
      <c r="A21" s="55">
        <v>5</v>
      </c>
      <c r="B21" s="73" t="s">
        <v>10</v>
      </c>
      <c r="C21" s="73"/>
      <c r="D21" s="54"/>
      <c r="E21" s="54"/>
      <c r="G21" s="70"/>
      <c r="H21" s="73" t="s">
        <v>59</v>
      </c>
      <c r="I21" s="73"/>
      <c r="J21" s="70"/>
      <c r="K21" s="70"/>
      <c r="M21" s="70"/>
      <c r="N21" s="73" t="s">
        <v>108</v>
      </c>
      <c r="O21" s="73"/>
      <c r="P21" s="70"/>
      <c r="Q21" s="70"/>
      <c r="T21" s="56"/>
      <c r="U21" s="32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</row>
    <row r="22" spans="1:52" s="11" customFormat="1" ht="17.100000000000001" customHeight="1" thickBot="1" x14ac:dyDescent="0.3">
      <c r="A22" s="70">
        <v>6</v>
      </c>
      <c r="B22" s="73" t="s">
        <v>11</v>
      </c>
      <c r="C22" s="73"/>
      <c r="D22" s="72"/>
      <c r="E22" s="70"/>
      <c r="G22" s="70">
        <v>24</v>
      </c>
      <c r="H22" s="73" t="s">
        <v>60</v>
      </c>
      <c r="I22" s="73"/>
      <c r="J22" s="70"/>
      <c r="K22" s="70"/>
      <c r="M22" s="70"/>
      <c r="N22" s="73" t="s">
        <v>109</v>
      </c>
      <c r="O22" s="73"/>
      <c r="P22" s="70"/>
      <c r="Q22" s="70"/>
      <c r="T22" s="56"/>
      <c r="U22" s="32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</row>
    <row r="23" spans="1:52" s="11" customFormat="1" ht="17.100000000000001" customHeight="1" thickBot="1" x14ac:dyDescent="0.3">
      <c r="A23" s="70"/>
      <c r="B23" s="73" t="s">
        <v>12</v>
      </c>
      <c r="C23" s="73"/>
      <c r="D23" s="72"/>
      <c r="E23" s="70"/>
      <c r="G23" s="70"/>
      <c r="H23" s="73" t="s">
        <v>61</v>
      </c>
      <c r="I23" s="73"/>
      <c r="J23" s="70"/>
      <c r="K23" s="70"/>
      <c r="M23" s="70"/>
      <c r="N23" s="73" t="s">
        <v>110</v>
      </c>
      <c r="O23" s="73"/>
      <c r="P23" s="70"/>
      <c r="Q23" s="70"/>
      <c r="T23" s="56"/>
      <c r="U23" s="32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</row>
    <row r="24" spans="1:52" s="11" customFormat="1" ht="17.100000000000001" customHeight="1" thickBot="1" x14ac:dyDescent="0.3">
      <c r="A24" s="70">
        <v>7</v>
      </c>
      <c r="B24" s="73" t="s">
        <v>13</v>
      </c>
      <c r="C24" s="73"/>
      <c r="D24" s="70"/>
      <c r="E24" s="70"/>
      <c r="G24" s="70"/>
      <c r="H24" s="73" t="s">
        <v>62</v>
      </c>
      <c r="I24" s="73"/>
      <c r="J24" s="70"/>
      <c r="K24" s="70"/>
      <c r="M24" s="70"/>
      <c r="N24" s="73" t="s">
        <v>111</v>
      </c>
      <c r="O24" s="73"/>
      <c r="P24" s="70"/>
      <c r="Q24" s="70"/>
      <c r="T24" s="56"/>
      <c r="U24" s="32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</row>
    <row r="25" spans="1:52" s="11" customFormat="1" ht="17.100000000000001" customHeight="1" thickBot="1" x14ac:dyDescent="0.3">
      <c r="A25" s="70"/>
      <c r="B25" s="73" t="s">
        <v>14</v>
      </c>
      <c r="C25" s="73"/>
      <c r="D25" s="70"/>
      <c r="E25" s="70"/>
      <c r="G25" s="70">
        <v>25</v>
      </c>
      <c r="H25" s="73" t="s">
        <v>63</v>
      </c>
      <c r="I25" s="73"/>
      <c r="J25" s="70"/>
      <c r="K25" s="70"/>
      <c r="M25" s="70"/>
      <c r="N25" s="73" t="s">
        <v>112</v>
      </c>
      <c r="O25" s="73"/>
      <c r="P25" s="70"/>
      <c r="Q25" s="70"/>
      <c r="T25" s="56"/>
      <c r="U25" s="32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</row>
    <row r="26" spans="1:52" s="11" customFormat="1" ht="17.100000000000001" customHeight="1" thickBot="1" x14ac:dyDescent="0.3">
      <c r="A26" s="70">
        <v>8</v>
      </c>
      <c r="B26" s="73" t="s">
        <v>15</v>
      </c>
      <c r="C26" s="73"/>
      <c r="D26" s="70"/>
      <c r="E26" s="70"/>
      <c r="G26" s="70"/>
      <c r="H26" s="73" t="s">
        <v>64</v>
      </c>
      <c r="I26" s="73"/>
      <c r="J26" s="70"/>
      <c r="K26" s="70"/>
      <c r="M26" s="70"/>
      <c r="N26" s="73" t="s">
        <v>113</v>
      </c>
      <c r="O26" s="73"/>
      <c r="P26" s="70"/>
      <c r="Q26" s="70"/>
      <c r="T26" s="56"/>
      <c r="U26" s="32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</row>
    <row r="27" spans="1:52" s="11" customFormat="1" ht="17.100000000000001" customHeight="1" thickBot="1" x14ac:dyDescent="0.3">
      <c r="A27" s="70"/>
      <c r="B27" s="73" t="s">
        <v>16</v>
      </c>
      <c r="C27" s="73"/>
      <c r="D27" s="70"/>
      <c r="E27" s="70"/>
      <c r="G27" s="70"/>
      <c r="H27" s="73" t="s">
        <v>65</v>
      </c>
      <c r="I27" s="73"/>
      <c r="J27" s="70"/>
      <c r="K27" s="70"/>
      <c r="M27" s="70"/>
      <c r="N27" s="73" t="s">
        <v>114</v>
      </c>
      <c r="O27" s="73"/>
      <c r="P27" s="70"/>
      <c r="Q27" s="70"/>
      <c r="T27" s="56"/>
      <c r="U27" s="32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</row>
    <row r="28" spans="1:52" s="11" customFormat="1" ht="17.100000000000001" customHeight="1" thickBot="1" x14ac:dyDescent="0.3">
      <c r="A28" s="70">
        <v>9</v>
      </c>
      <c r="B28" s="73" t="s">
        <v>17</v>
      </c>
      <c r="C28" s="73"/>
      <c r="D28" s="70"/>
      <c r="E28" s="70"/>
      <c r="G28" s="70"/>
      <c r="H28" s="73" t="s">
        <v>66</v>
      </c>
      <c r="I28" s="73"/>
      <c r="J28" s="70"/>
      <c r="K28" s="70"/>
      <c r="M28" s="70"/>
      <c r="N28" s="73" t="s">
        <v>115</v>
      </c>
      <c r="O28" s="73"/>
      <c r="P28" s="70"/>
      <c r="Q28" s="70"/>
      <c r="T28" s="56"/>
      <c r="U28" s="32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</row>
    <row r="29" spans="1:52" s="11" customFormat="1" ht="17.100000000000001" customHeight="1" thickBot="1" x14ac:dyDescent="0.3">
      <c r="A29" s="70"/>
      <c r="B29" s="73" t="s">
        <v>18</v>
      </c>
      <c r="C29" s="73"/>
      <c r="D29" s="70"/>
      <c r="E29" s="70"/>
      <c r="G29" s="70"/>
      <c r="H29" s="73" t="s">
        <v>67</v>
      </c>
      <c r="I29" s="73"/>
      <c r="J29" s="70"/>
      <c r="K29" s="70"/>
      <c r="M29" s="70"/>
      <c r="N29" s="73" t="s">
        <v>116</v>
      </c>
      <c r="O29" s="73"/>
      <c r="P29" s="70"/>
      <c r="Q29" s="70"/>
      <c r="T29" s="56"/>
      <c r="U29" s="32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</row>
    <row r="30" spans="1:52" s="11" customFormat="1" ht="17.100000000000001" customHeight="1" thickBot="1" x14ac:dyDescent="0.3">
      <c r="A30" s="70">
        <v>10</v>
      </c>
      <c r="B30" s="73" t="s">
        <v>19</v>
      </c>
      <c r="C30" s="73"/>
      <c r="D30" s="70"/>
      <c r="E30" s="70"/>
      <c r="G30" s="70">
        <v>26</v>
      </c>
      <c r="H30" s="73" t="s">
        <v>68</v>
      </c>
      <c r="I30" s="73"/>
      <c r="J30" s="70"/>
      <c r="K30" s="70"/>
      <c r="M30" s="70"/>
      <c r="N30" s="73" t="s">
        <v>117</v>
      </c>
      <c r="O30" s="73"/>
      <c r="P30" s="70"/>
      <c r="Q30" s="70"/>
      <c r="T30" s="56"/>
      <c r="U30" s="32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</row>
    <row r="31" spans="1:52" s="11" customFormat="1" ht="17.100000000000001" customHeight="1" thickBot="1" x14ac:dyDescent="0.3">
      <c r="A31" s="70"/>
      <c r="B31" s="73" t="s">
        <v>20</v>
      </c>
      <c r="C31" s="73"/>
      <c r="D31" s="70"/>
      <c r="E31" s="70"/>
      <c r="G31" s="70"/>
      <c r="H31" s="73" t="s">
        <v>69</v>
      </c>
      <c r="I31" s="73"/>
      <c r="J31" s="70"/>
      <c r="K31" s="70"/>
      <c r="M31" s="70"/>
      <c r="N31" s="73" t="s">
        <v>118</v>
      </c>
      <c r="O31" s="73"/>
      <c r="P31" s="70"/>
      <c r="Q31" s="70"/>
      <c r="T31" s="56"/>
      <c r="U31" s="32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</row>
    <row r="32" spans="1:52" s="11" customFormat="1" ht="17.100000000000001" customHeight="1" thickBot="1" x14ac:dyDescent="0.3">
      <c r="A32" s="70">
        <v>11</v>
      </c>
      <c r="B32" s="73" t="s">
        <v>21</v>
      </c>
      <c r="C32" s="73"/>
      <c r="D32" s="72"/>
      <c r="E32" s="72"/>
      <c r="G32" s="70"/>
      <c r="H32" s="73" t="s">
        <v>70</v>
      </c>
      <c r="I32" s="73"/>
      <c r="J32" s="70"/>
      <c r="K32" s="70"/>
      <c r="M32" s="70"/>
      <c r="N32" s="73" t="s">
        <v>119</v>
      </c>
      <c r="O32" s="73"/>
      <c r="P32" s="70"/>
      <c r="Q32" s="70"/>
      <c r="T32" s="56"/>
      <c r="U32" s="32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</row>
    <row r="33" spans="1:52" s="11" customFormat="1" ht="17.100000000000001" customHeight="1" thickBot="1" x14ac:dyDescent="0.3">
      <c r="A33" s="70"/>
      <c r="B33" s="73" t="s">
        <v>22</v>
      </c>
      <c r="C33" s="73"/>
      <c r="D33" s="72"/>
      <c r="E33" s="72"/>
      <c r="G33" s="70"/>
      <c r="H33" s="73" t="s">
        <v>71</v>
      </c>
      <c r="I33" s="73"/>
      <c r="J33" s="70"/>
      <c r="K33" s="70"/>
      <c r="M33" s="70"/>
      <c r="N33" s="73" t="s">
        <v>120</v>
      </c>
      <c r="O33" s="73"/>
      <c r="P33" s="70"/>
      <c r="Q33" s="70"/>
      <c r="T33" s="56"/>
      <c r="U33" s="32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</row>
    <row r="34" spans="1:52" s="11" customFormat="1" ht="17.100000000000001" customHeight="1" thickBot="1" x14ac:dyDescent="0.3">
      <c r="A34" s="70"/>
      <c r="B34" s="73" t="s">
        <v>23</v>
      </c>
      <c r="C34" s="73"/>
      <c r="D34" s="72"/>
      <c r="E34" s="72"/>
      <c r="G34" s="70"/>
      <c r="H34" s="73" t="s">
        <v>72</v>
      </c>
      <c r="I34" s="73"/>
      <c r="J34" s="70"/>
      <c r="K34" s="70"/>
      <c r="M34" s="70"/>
      <c r="N34" s="73" t="s">
        <v>121</v>
      </c>
      <c r="O34" s="73"/>
      <c r="P34" s="70"/>
      <c r="Q34" s="70"/>
      <c r="T34" s="56"/>
      <c r="U34" s="32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</row>
    <row r="35" spans="1:52" s="11" customFormat="1" ht="17.100000000000001" customHeight="1" thickBot="1" x14ac:dyDescent="0.3">
      <c r="A35" s="70">
        <v>12</v>
      </c>
      <c r="B35" s="73" t="s">
        <v>24</v>
      </c>
      <c r="C35" s="73"/>
      <c r="D35" s="70"/>
      <c r="E35" s="70"/>
      <c r="G35" s="70"/>
      <c r="H35" s="73" t="s">
        <v>73</v>
      </c>
      <c r="I35" s="73"/>
      <c r="J35" s="70"/>
      <c r="K35" s="70"/>
      <c r="M35" s="70"/>
      <c r="N35" s="73" t="s">
        <v>122</v>
      </c>
      <c r="O35" s="73"/>
      <c r="P35" s="70"/>
      <c r="Q35" s="70"/>
      <c r="T35" s="56"/>
      <c r="U35" s="32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</row>
    <row r="36" spans="1:52" s="11" customFormat="1" ht="17.100000000000001" customHeight="1" thickBot="1" x14ac:dyDescent="0.3">
      <c r="A36" s="70"/>
      <c r="B36" s="73" t="s">
        <v>25</v>
      </c>
      <c r="C36" s="73"/>
      <c r="D36" s="70"/>
      <c r="E36" s="70"/>
      <c r="G36" s="70">
        <v>27</v>
      </c>
      <c r="H36" s="73" t="s">
        <v>74</v>
      </c>
      <c r="I36" s="73"/>
      <c r="J36" s="70"/>
      <c r="K36" s="70"/>
      <c r="M36" s="70"/>
      <c r="N36" s="73" t="s">
        <v>123</v>
      </c>
      <c r="O36" s="73"/>
      <c r="P36" s="70"/>
      <c r="Q36" s="70"/>
      <c r="T36" s="56"/>
      <c r="U36" s="32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</row>
    <row r="37" spans="1:52" s="11" customFormat="1" ht="17.100000000000001" customHeight="1" thickBot="1" x14ac:dyDescent="0.3">
      <c r="A37" s="70">
        <v>13</v>
      </c>
      <c r="B37" s="73" t="s">
        <v>26</v>
      </c>
      <c r="C37" s="73"/>
      <c r="D37" s="72"/>
      <c r="E37" s="72"/>
      <c r="G37" s="70"/>
      <c r="H37" s="73" t="s">
        <v>75</v>
      </c>
      <c r="I37" s="73"/>
      <c r="J37" s="70"/>
      <c r="K37" s="70"/>
      <c r="M37" s="70"/>
      <c r="N37" s="73" t="s">
        <v>124</v>
      </c>
      <c r="O37" s="73"/>
      <c r="P37" s="70"/>
      <c r="Q37" s="70"/>
      <c r="T37" s="56"/>
      <c r="U37" s="32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</row>
    <row r="38" spans="1:52" s="11" customFormat="1" ht="17.100000000000001" customHeight="1" thickBot="1" x14ac:dyDescent="0.3">
      <c r="A38" s="70"/>
      <c r="B38" s="73" t="s">
        <v>27</v>
      </c>
      <c r="C38" s="73"/>
      <c r="D38" s="72"/>
      <c r="E38" s="72"/>
      <c r="G38" s="70"/>
      <c r="H38" s="73" t="s">
        <v>76</v>
      </c>
      <c r="I38" s="73"/>
      <c r="J38" s="70"/>
      <c r="K38" s="70"/>
      <c r="M38" s="70"/>
      <c r="N38" s="73" t="s">
        <v>125</v>
      </c>
      <c r="O38" s="73"/>
      <c r="P38" s="70"/>
      <c r="Q38" s="70"/>
      <c r="T38" s="56"/>
      <c r="U38" s="32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</row>
    <row r="39" spans="1:52" s="11" customFormat="1" ht="17.100000000000001" customHeight="1" thickBot="1" x14ac:dyDescent="0.3">
      <c r="A39" s="70"/>
      <c r="B39" s="73" t="s">
        <v>28</v>
      </c>
      <c r="C39" s="73"/>
      <c r="D39" s="72"/>
      <c r="E39" s="72"/>
      <c r="G39" s="70"/>
      <c r="H39" s="73" t="s">
        <v>77</v>
      </c>
      <c r="I39" s="73"/>
      <c r="J39" s="70"/>
      <c r="K39" s="70"/>
      <c r="M39" s="70"/>
      <c r="N39" s="73" t="s">
        <v>126</v>
      </c>
      <c r="O39" s="73"/>
      <c r="P39" s="70"/>
      <c r="Q39" s="70"/>
      <c r="T39" s="56"/>
      <c r="U39" s="32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</row>
    <row r="40" spans="1:52" s="11" customFormat="1" ht="17.100000000000001" customHeight="1" thickBot="1" x14ac:dyDescent="0.3">
      <c r="A40" s="70">
        <v>14</v>
      </c>
      <c r="B40" s="73" t="s">
        <v>29</v>
      </c>
      <c r="C40" s="73"/>
      <c r="D40" s="70"/>
      <c r="E40" s="70"/>
      <c r="G40" s="70"/>
      <c r="H40" s="73" t="s">
        <v>78</v>
      </c>
      <c r="I40" s="73"/>
      <c r="J40" s="70"/>
      <c r="K40" s="70"/>
      <c r="M40" s="70"/>
      <c r="N40" s="73" t="s">
        <v>127</v>
      </c>
      <c r="O40" s="73"/>
      <c r="P40" s="70"/>
      <c r="Q40" s="70"/>
      <c r="T40" s="56"/>
      <c r="U40" s="32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</row>
    <row r="41" spans="1:52" s="11" customFormat="1" ht="17.100000000000001" customHeight="1" thickBot="1" x14ac:dyDescent="0.3">
      <c r="A41" s="70"/>
      <c r="B41" s="73" t="s">
        <v>30</v>
      </c>
      <c r="C41" s="73"/>
      <c r="D41" s="70"/>
      <c r="E41" s="70"/>
      <c r="G41" s="70"/>
      <c r="H41" s="73" t="s">
        <v>79</v>
      </c>
      <c r="I41" s="73"/>
      <c r="J41" s="70"/>
      <c r="K41" s="70"/>
      <c r="M41" s="70"/>
      <c r="N41" s="73" t="s">
        <v>128</v>
      </c>
      <c r="O41" s="73"/>
      <c r="P41" s="70"/>
      <c r="Q41" s="70"/>
      <c r="T41" s="56"/>
      <c r="U41" s="32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</row>
    <row r="42" spans="1:52" s="11" customFormat="1" ht="17.100000000000001" customHeight="1" thickBot="1" x14ac:dyDescent="0.3">
      <c r="A42" s="70">
        <v>15</v>
      </c>
      <c r="B42" s="73" t="s">
        <v>31</v>
      </c>
      <c r="C42" s="73"/>
      <c r="D42" s="70"/>
      <c r="E42" s="70"/>
      <c r="G42" s="70"/>
      <c r="H42" s="73" t="s">
        <v>80</v>
      </c>
      <c r="I42" s="73"/>
      <c r="J42" s="70"/>
      <c r="K42" s="70"/>
      <c r="M42" s="70"/>
      <c r="N42" s="73" t="s">
        <v>129</v>
      </c>
      <c r="O42" s="73"/>
      <c r="P42" s="70"/>
      <c r="Q42" s="70"/>
      <c r="T42" s="56"/>
      <c r="U42" s="32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</row>
    <row r="43" spans="1:52" s="11" customFormat="1" ht="17.100000000000001" customHeight="1" thickBot="1" x14ac:dyDescent="0.3">
      <c r="A43" s="70"/>
      <c r="B43" s="73" t="s">
        <v>32</v>
      </c>
      <c r="C43" s="73"/>
      <c r="D43" s="70"/>
      <c r="E43" s="70"/>
      <c r="G43" s="70">
        <v>28</v>
      </c>
      <c r="H43" s="73" t="s">
        <v>81</v>
      </c>
      <c r="I43" s="73"/>
      <c r="J43" s="70"/>
      <c r="K43" s="70"/>
      <c r="M43" s="70"/>
      <c r="N43" s="73" t="s">
        <v>130</v>
      </c>
      <c r="O43" s="73"/>
      <c r="P43" s="70"/>
      <c r="Q43" s="70"/>
      <c r="T43" s="56"/>
      <c r="U43" s="32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</row>
    <row r="44" spans="1:52" s="11" customFormat="1" ht="17.100000000000001" customHeight="1" thickBot="1" x14ac:dyDescent="0.3">
      <c r="A44" s="70">
        <v>16</v>
      </c>
      <c r="B44" s="73" t="s">
        <v>33</v>
      </c>
      <c r="C44" s="73"/>
      <c r="D44" s="72"/>
      <c r="E44" s="72"/>
      <c r="G44" s="70"/>
      <c r="H44" s="73" t="s">
        <v>82</v>
      </c>
      <c r="I44" s="73"/>
      <c r="J44" s="70"/>
      <c r="K44" s="70"/>
      <c r="M44" s="70"/>
      <c r="N44" s="73" t="s">
        <v>131</v>
      </c>
      <c r="O44" s="73"/>
      <c r="P44" s="70"/>
      <c r="Q44" s="70"/>
      <c r="T44" s="56"/>
      <c r="U44" s="32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</row>
    <row r="45" spans="1:52" s="11" customFormat="1" ht="17.100000000000001" customHeight="1" thickBot="1" x14ac:dyDescent="0.3">
      <c r="A45" s="70"/>
      <c r="B45" s="73" t="s">
        <v>34</v>
      </c>
      <c r="C45" s="73"/>
      <c r="D45" s="72"/>
      <c r="E45" s="72"/>
      <c r="G45" s="70"/>
      <c r="H45" s="73" t="s">
        <v>83</v>
      </c>
      <c r="I45" s="73"/>
      <c r="J45" s="70"/>
      <c r="K45" s="70"/>
      <c r="M45" s="70"/>
      <c r="N45" s="73" t="s">
        <v>132</v>
      </c>
      <c r="O45" s="73"/>
      <c r="P45" s="70"/>
      <c r="Q45" s="70"/>
      <c r="T45" s="56"/>
      <c r="U45" s="32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</row>
    <row r="46" spans="1:52" s="11" customFormat="1" ht="17.100000000000001" customHeight="1" thickBot="1" x14ac:dyDescent="0.3">
      <c r="A46" s="70"/>
      <c r="B46" s="73" t="s">
        <v>35</v>
      </c>
      <c r="C46" s="73"/>
      <c r="D46" s="72"/>
      <c r="E46" s="72"/>
      <c r="G46" s="70"/>
      <c r="H46" s="73" t="s">
        <v>84</v>
      </c>
      <c r="I46" s="73"/>
      <c r="J46" s="70"/>
      <c r="K46" s="70"/>
      <c r="M46" s="70"/>
      <c r="N46" s="73" t="s">
        <v>133</v>
      </c>
      <c r="O46" s="73"/>
      <c r="P46" s="70"/>
      <c r="Q46" s="70"/>
      <c r="T46" s="56"/>
      <c r="U46" s="32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</row>
    <row r="47" spans="1:52" s="11" customFormat="1" ht="17.100000000000001" customHeight="1" thickBot="1" x14ac:dyDescent="0.3">
      <c r="A47" s="70">
        <v>17</v>
      </c>
      <c r="B47" s="73" t="s">
        <v>36</v>
      </c>
      <c r="C47" s="73"/>
      <c r="D47" s="70"/>
      <c r="E47" s="70"/>
      <c r="G47" s="70"/>
      <c r="H47" s="73" t="s">
        <v>85</v>
      </c>
      <c r="I47" s="73"/>
      <c r="J47" s="70"/>
      <c r="K47" s="70"/>
      <c r="M47" s="70"/>
      <c r="N47" s="73" t="s">
        <v>134</v>
      </c>
      <c r="O47" s="73"/>
      <c r="P47" s="70"/>
      <c r="Q47" s="70"/>
      <c r="T47" s="56"/>
      <c r="U47" s="32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</row>
    <row r="48" spans="1:52" s="11" customFormat="1" ht="17.100000000000001" customHeight="1" thickBot="1" x14ac:dyDescent="0.3">
      <c r="A48" s="70"/>
      <c r="B48" s="73" t="s">
        <v>37</v>
      </c>
      <c r="C48" s="73"/>
      <c r="D48" s="70"/>
      <c r="E48" s="70"/>
      <c r="G48" s="70"/>
      <c r="H48" s="73" t="s">
        <v>86</v>
      </c>
      <c r="I48" s="73"/>
      <c r="J48" s="70"/>
      <c r="K48" s="70"/>
      <c r="M48" s="70"/>
      <c r="N48" s="73" t="s">
        <v>135</v>
      </c>
      <c r="O48" s="73"/>
      <c r="P48" s="70"/>
      <c r="Q48" s="70"/>
      <c r="T48" s="56"/>
      <c r="U48" s="32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</row>
    <row r="49" spans="1:52" s="11" customFormat="1" ht="17.100000000000001" customHeight="1" thickBot="1" x14ac:dyDescent="0.3">
      <c r="A49" s="70">
        <v>18</v>
      </c>
      <c r="B49" s="73" t="s">
        <v>38</v>
      </c>
      <c r="C49" s="73"/>
      <c r="D49" s="72"/>
      <c r="E49" s="72"/>
      <c r="G49" s="70"/>
      <c r="H49" s="73" t="s">
        <v>87</v>
      </c>
      <c r="I49" s="73"/>
      <c r="J49" s="70"/>
      <c r="K49" s="70"/>
      <c r="M49" s="70"/>
      <c r="N49" s="73" t="s">
        <v>136</v>
      </c>
      <c r="O49" s="73"/>
      <c r="P49" s="70"/>
      <c r="Q49" s="70"/>
      <c r="T49" s="56"/>
      <c r="U49" s="32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</row>
    <row r="50" spans="1:52" s="11" customFormat="1" ht="17.100000000000001" customHeight="1" thickBot="1" x14ac:dyDescent="0.3">
      <c r="A50" s="70"/>
      <c r="B50" s="73" t="s">
        <v>39</v>
      </c>
      <c r="C50" s="73"/>
      <c r="D50" s="72"/>
      <c r="E50" s="72"/>
      <c r="G50" s="70"/>
      <c r="H50" s="73" t="s">
        <v>88</v>
      </c>
      <c r="I50" s="73"/>
      <c r="J50" s="70"/>
      <c r="K50" s="70"/>
      <c r="M50" s="71"/>
      <c r="N50" s="84" t="s">
        <v>137</v>
      </c>
      <c r="O50" s="84"/>
      <c r="P50" s="71"/>
      <c r="Q50" s="71"/>
      <c r="T50" s="56"/>
      <c r="U50" s="32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</row>
    <row r="51" spans="1:52" s="11" customFormat="1" ht="17.100000000000001" customHeight="1" thickTop="1" thickBot="1" x14ac:dyDescent="0.3">
      <c r="A51" s="70"/>
      <c r="B51" s="73" t="s">
        <v>41</v>
      </c>
      <c r="C51" s="73"/>
      <c r="D51" s="72"/>
      <c r="E51" s="72"/>
      <c r="G51" s="70"/>
      <c r="H51" s="73" t="s">
        <v>89</v>
      </c>
      <c r="I51" s="73"/>
      <c r="J51" s="70"/>
      <c r="K51" s="70"/>
      <c r="M51" s="74" t="s">
        <v>145</v>
      </c>
      <c r="N51" s="74"/>
      <c r="O51" s="74"/>
      <c r="P51" s="82">
        <f>AZ14</f>
        <v>84.5</v>
      </c>
      <c r="Q51" s="82">
        <f>AZ15</f>
        <v>60</v>
      </c>
      <c r="T51" s="56"/>
      <c r="U51" s="32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</row>
    <row r="52" spans="1:52" s="11" customFormat="1" ht="17.100000000000001" customHeight="1" thickBot="1" x14ac:dyDescent="0.3">
      <c r="A52" s="70">
        <v>19</v>
      </c>
      <c r="B52" s="73" t="s">
        <v>42</v>
      </c>
      <c r="C52" s="73"/>
      <c r="D52" s="72"/>
      <c r="E52" s="72"/>
      <c r="G52" s="70">
        <v>29</v>
      </c>
      <c r="H52" s="73" t="s">
        <v>90</v>
      </c>
      <c r="I52" s="73"/>
      <c r="J52" s="70">
        <v>85</v>
      </c>
      <c r="K52" s="70">
        <v>60</v>
      </c>
      <c r="M52" s="75"/>
      <c r="N52" s="75"/>
      <c r="O52" s="75"/>
      <c r="P52" s="83"/>
      <c r="Q52" s="83"/>
      <c r="T52" s="56"/>
      <c r="U52" s="32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</row>
    <row r="53" spans="1:52" s="11" customFormat="1" ht="17.100000000000001" customHeight="1" thickBot="1" x14ac:dyDescent="0.3">
      <c r="A53" s="70"/>
      <c r="B53" s="73" t="s">
        <v>40</v>
      </c>
      <c r="C53" s="73"/>
      <c r="D53" s="72"/>
      <c r="E53" s="72"/>
      <c r="G53" s="70"/>
      <c r="H53" s="73" t="s">
        <v>91</v>
      </c>
      <c r="I53" s="73"/>
      <c r="J53" s="70"/>
      <c r="K53" s="70"/>
      <c r="M53" s="39" t="s">
        <v>163</v>
      </c>
      <c r="N53" s="13"/>
      <c r="P53" s="56"/>
      <c r="Q53" s="56"/>
      <c r="T53" s="56"/>
      <c r="U53" s="32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</row>
    <row r="54" spans="1:52" s="11" customFormat="1" ht="17.100000000000001" customHeight="1" thickBot="1" x14ac:dyDescent="0.3">
      <c r="A54" s="70"/>
      <c r="B54" s="73" t="s">
        <v>43</v>
      </c>
      <c r="C54" s="73"/>
      <c r="D54" s="72"/>
      <c r="E54" s="72"/>
      <c r="G54" s="70"/>
      <c r="H54" s="73" t="s">
        <v>92</v>
      </c>
      <c r="I54" s="73"/>
      <c r="J54" s="70"/>
      <c r="K54" s="70"/>
      <c r="M54" s="12"/>
      <c r="N54" s="15"/>
      <c r="P54" s="56"/>
      <c r="Q54" s="56"/>
      <c r="T54" s="56"/>
      <c r="U54" s="32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</row>
    <row r="55" spans="1:52" s="11" customFormat="1" ht="17.100000000000001" customHeight="1" thickBot="1" x14ac:dyDescent="0.45">
      <c r="A55" s="70">
        <v>20</v>
      </c>
      <c r="B55" s="73" t="s">
        <v>44</v>
      </c>
      <c r="C55" s="73"/>
      <c r="D55" s="72"/>
      <c r="E55" s="72"/>
      <c r="G55" s="70"/>
      <c r="H55" s="73" t="s">
        <v>93</v>
      </c>
      <c r="I55" s="73"/>
      <c r="J55" s="70"/>
      <c r="K55" s="70"/>
      <c r="M55" s="85" t="s">
        <v>175</v>
      </c>
      <c r="N55" s="85"/>
      <c r="O55" s="85"/>
      <c r="P55" s="85"/>
      <c r="Q55" s="85"/>
      <c r="T55" s="56"/>
      <c r="U55" s="32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</row>
    <row r="56" spans="1:52" s="11" customFormat="1" ht="17.100000000000001" customHeight="1" thickBot="1" x14ac:dyDescent="0.45">
      <c r="A56" s="70"/>
      <c r="B56" s="73" t="s">
        <v>45</v>
      </c>
      <c r="C56" s="73"/>
      <c r="D56" s="72"/>
      <c r="E56" s="72"/>
      <c r="G56" s="70"/>
      <c r="H56" s="73" t="s">
        <v>94</v>
      </c>
      <c r="I56" s="73"/>
      <c r="J56" s="70"/>
      <c r="K56" s="70"/>
      <c r="M56" s="85" t="s">
        <v>197</v>
      </c>
      <c r="N56" s="85"/>
      <c r="O56" s="85"/>
      <c r="P56" s="85"/>
      <c r="Q56" s="85"/>
      <c r="T56" s="56"/>
      <c r="U56" s="32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</row>
    <row r="57" spans="1:52" s="11" customFormat="1" ht="17.100000000000001" customHeight="1" thickBot="1" x14ac:dyDescent="0.3">
      <c r="A57" s="70"/>
      <c r="B57" s="73" t="s">
        <v>46</v>
      </c>
      <c r="C57" s="73"/>
      <c r="D57" s="72"/>
      <c r="E57" s="72"/>
      <c r="G57" s="70"/>
      <c r="H57" s="73" t="s">
        <v>95</v>
      </c>
      <c r="I57" s="73"/>
      <c r="J57" s="70"/>
      <c r="K57" s="70"/>
      <c r="M57" s="12"/>
      <c r="N57" s="15"/>
      <c r="P57" s="61"/>
      <c r="Q57" s="61"/>
      <c r="T57" s="56"/>
      <c r="U57" s="32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</row>
    <row r="58" spans="1:52" s="11" customFormat="1" ht="17.100000000000001" customHeight="1" thickBot="1" x14ac:dyDescent="0.3">
      <c r="A58" s="70">
        <v>21</v>
      </c>
      <c r="B58" s="73" t="s">
        <v>47</v>
      </c>
      <c r="C58" s="73"/>
      <c r="D58" s="72"/>
      <c r="E58" s="72"/>
      <c r="G58" s="70"/>
      <c r="H58" s="73" t="s">
        <v>96</v>
      </c>
      <c r="I58" s="73"/>
      <c r="J58" s="70"/>
      <c r="K58" s="70"/>
      <c r="M58" s="86" t="s">
        <v>174</v>
      </c>
      <c r="N58" s="86"/>
      <c r="O58" s="86"/>
      <c r="P58" s="86"/>
      <c r="Q58" s="86"/>
      <c r="T58" s="56"/>
      <c r="U58" s="32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</row>
    <row r="59" spans="1:52" s="11" customFormat="1" ht="17.100000000000001" customHeight="1" thickBot="1" x14ac:dyDescent="0.3">
      <c r="A59" s="70"/>
      <c r="B59" s="73" t="s">
        <v>48</v>
      </c>
      <c r="C59" s="73"/>
      <c r="D59" s="72"/>
      <c r="E59" s="72"/>
      <c r="G59" s="70"/>
      <c r="H59" s="73" t="s">
        <v>97</v>
      </c>
      <c r="I59" s="73"/>
      <c r="J59" s="70"/>
      <c r="K59" s="70"/>
      <c r="M59" s="86"/>
      <c r="N59" s="86"/>
      <c r="O59" s="86"/>
      <c r="P59" s="86"/>
      <c r="Q59" s="86"/>
      <c r="T59" s="56"/>
      <c r="U59" s="32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</row>
    <row r="60" spans="1:52" s="11" customFormat="1" ht="17.100000000000001" customHeight="1" thickBot="1" x14ac:dyDescent="0.3">
      <c r="A60" s="70"/>
      <c r="B60" s="73" t="s">
        <v>49</v>
      </c>
      <c r="C60" s="73"/>
      <c r="D60" s="72"/>
      <c r="E60" s="72"/>
      <c r="G60" s="70"/>
      <c r="H60" s="73" t="s">
        <v>98</v>
      </c>
      <c r="I60" s="73"/>
      <c r="J60" s="70"/>
      <c r="K60" s="70"/>
      <c r="M60" s="68"/>
      <c r="N60" s="69"/>
      <c r="O60" s="69"/>
      <c r="P60" s="68"/>
      <c r="Q60" s="68"/>
      <c r="T60" s="56"/>
      <c r="U60" s="32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</row>
    <row r="61" spans="1:52" s="11" customFormat="1" ht="17.100000000000001" customHeight="1" thickBot="1" x14ac:dyDescent="0.3">
      <c r="A61" s="70"/>
      <c r="B61" s="73" t="s">
        <v>50</v>
      </c>
      <c r="C61" s="73"/>
      <c r="D61" s="72"/>
      <c r="E61" s="72"/>
      <c r="G61" s="70"/>
      <c r="H61" s="73" t="s">
        <v>99</v>
      </c>
      <c r="I61" s="73"/>
      <c r="J61" s="70"/>
      <c r="K61" s="70"/>
      <c r="M61" s="68"/>
      <c r="N61" s="69"/>
      <c r="O61" s="69"/>
      <c r="P61" s="68"/>
      <c r="Q61" s="68"/>
      <c r="T61" s="56"/>
      <c r="U61" s="32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</row>
    <row r="62" spans="1:52" s="11" customFormat="1" ht="17.100000000000001" customHeight="1" thickBot="1" x14ac:dyDescent="0.3">
      <c r="A62" s="70"/>
      <c r="B62" s="73" t="s">
        <v>51</v>
      </c>
      <c r="C62" s="73"/>
      <c r="D62" s="72"/>
      <c r="E62" s="72"/>
      <c r="G62" s="70"/>
      <c r="H62" s="73" t="s">
        <v>100</v>
      </c>
      <c r="I62" s="73"/>
      <c r="J62" s="70"/>
      <c r="K62" s="70"/>
      <c r="M62" s="87" t="s">
        <v>177</v>
      </c>
      <c r="N62" s="87"/>
      <c r="O62" s="87"/>
      <c r="P62" s="87"/>
      <c r="Q62" s="87"/>
      <c r="T62" s="56"/>
      <c r="U62" s="32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</row>
    <row r="63" spans="1:52" ht="6" customHeight="1" x14ac:dyDescent="0.25">
      <c r="M63" s="61"/>
      <c r="N63" s="61"/>
      <c r="O63" s="61"/>
      <c r="P63" s="61"/>
      <c r="Q63" s="61"/>
    </row>
    <row r="64" spans="1:52" x14ac:dyDescent="0.25">
      <c r="B64" s="4"/>
      <c r="E64" s="18"/>
      <c r="F64" s="3"/>
      <c r="H64" s="2"/>
      <c r="M64" s="61"/>
      <c r="P64" s="61"/>
      <c r="Q64" s="61"/>
    </row>
    <row r="65" spans="2:8" x14ac:dyDescent="0.25">
      <c r="B65" s="2"/>
      <c r="H65" s="2"/>
    </row>
    <row r="66" spans="2:8" x14ac:dyDescent="0.25">
      <c r="B66" s="2"/>
      <c r="H66" s="2"/>
    </row>
  </sheetData>
  <mergeCells count="250">
    <mergeCell ref="B54:C54"/>
    <mergeCell ref="H54:I54"/>
    <mergeCell ref="H60:I60"/>
    <mergeCell ref="B61:C61"/>
    <mergeCell ref="H61:I61"/>
    <mergeCell ref="B62:C62"/>
    <mergeCell ref="H62:I62"/>
    <mergeCell ref="M62:Q62"/>
    <mergeCell ref="A58:A62"/>
    <mergeCell ref="B58:C58"/>
    <mergeCell ref="D58:D62"/>
    <mergeCell ref="E58:E62"/>
    <mergeCell ref="H58:I58"/>
    <mergeCell ref="M58:Q58"/>
    <mergeCell ref="B59:C59"/>
    <mergeCell ref="H59:I59"/>
    <mergeCell ref="M59:Q59"/>
    <mergeCell ref="B60:C60"/>
    <mergeCell ref="A55:A57"/>
    <mergeCell ref="B55:C55"/>
    <mergeCell ref="D55:D57"/>
    <mergeCell ref="E55:E57"/>
    <mergeCell ref="H55:I55"/>
    <mergeCell ref="Q51:Q52"/>
    <mergeCell ref="A52:A54"/>
    <mergeCell ref="B52:C52"/>
    <mergeCell ref="D52:D54"/>
    <mergeCell ref="E52:E54"/>
    <mergeCell ref="G52:G62"/>
    <mergeCell ref="H52:I52"/>
    <mergeCell ref="J52:J62"/>
    <mergeCell ref="K52:K62"/>
    <mergeCell ref="B53:C53"/>
    <mergeCell ref="A49:A51"/>
    <mergeCell ref="Q14:Q50"/>
    <mergeCell ref="M55:Q55"/>
    <mergeCell ref="B56:C56"/>
    <mergeCell ref="H56:I56"/>
    <mergeCell ref="M56:Q56"/>
    <mergeCell ref="B57:C57"/>
    <mergeCell ref="H57:I57"/>
    <mergeCell ref="H53:I53"/>
    <mergeCell ref="B51:C51"/>
    <mergeCell ref="H51:I51"/>
    <mergeCell ref="M51:O52"/>
    <mergeCell ref="P51:P52"/>
    <mergeCell ref="B48:C48"/>
    <mergeCell ref="P14:P50"/>
    <mergeCell ref="B15:C15"/>
    <mergeCell ref="H15:I15"/>
    <mergeCell ref="B16:C16"/>
    <mergeCell ref="H16:I16"/>
    <mergeCell ref="H46:I46"/>
    <mergeCell ref="N46:O46"/>
    <mergeCell ref="H43:I43"/>
    <mergeCell ref="J43:J51"/>
    <mergeCell ref="N39:O39"/>
    <mergeCell ref="B46:C46"/>
    <mergeCell ref="E35:E36"/>
    <mergeCell ref="H35:I35"/>
    <mergeCell ref="N35:O35"/>
    <mergeCell ref="B36:C36"/>
    <mergeCell ref="N32:O32"/>
    <mergeCell ref="H50:I50"/>
    <mergeCell ref="N50:O50"/>
    <mergeCell ref="B43:C43"/>
    <mergeCell ref="G43:G51"/>
    <mergeCell ref="H48:I48"/>
    <mergeCell ref="N48:O48"/>
    <mergeCell ref="B49:C49"/>
    <mergeCell ref="D49:D51"/>
    <mergeCell ref="E49:E51"/>
    <mergeCell ref="H49:I49"/>
    <mergeCell ref="N49:O49"/>
    <mergeCell ref="B50:C50"/>
    <mergeCell ref="N40:O40"/>
    <mergeCell ref="B41:C41"/>
    <mergeCell ref="H41:I41"/>
    <mergeCell ref="N41:O41"/>
    <mergeCell ref="A47:A48"/>
    <mergeCell ref="B47:C47"/>
    <mergeCell ref="D47:D48"/>
    <mergeCell ref="E47:E48"/>
    <mergeCell ref="H47:I47"/>
    <mergeCell ref="N47:O47"/>
    <mergeCell ref="K43:K51"/>
    <mergeCell ref="N43:O43"/>
    <mergeCell ref="A44:A46"/>
    <mergeCell ref="B44:C44"/>
    <mergeCell ref="D44:D46"/>
    <mergeCell ref="E44:E46"/>
    <mergeCell ref="H44:I44"/>
    <mergeCell ref="N44:O44"/>
    <mergeCell ref="B45:C45"/>
    <mergeCell ref="H45:I45"/>
    <mergeCell ref="A42:A43"/>
    <mergeCell ref="B42:C42"/>
    <mergeCell ref="D42:D43"/>
    <mergeCell ref="E42:E43"/>
    <mergeCell ref="A37:A39"/>
    <mergeCell ref="B37:C37"/>
    <mergeCell ref="D37:D39"/>
    <mergeCell ref="E37:E39"/>
    <mergeCell ref="H37:I37"/>
    <mergeCell ref="N37:O37"/>
    <mergeCell ref="B38:C38"/>
    <mergeCell ref="H38:I38"/>
    <mergeCell ref="N45:O45"/>
    <mergeCell ref="N38:O38"/>
    <mergeCell ref="B39:C39"/>
    <mergeCell ref="G36:G42"/>
    <mergeCell ref="H36:I36"/>
    <mergeCell ref="J36:J42"/>
    <mergeCell ref="K36:K42"/>
    <mergeCell ref="N36:O36"/>
    <mergeCell ref="H39:I39"/>
    <mergeCell ref="H42:I42"/>
    <mergeCell ref="N42:O42"/>
    <mergeCell ref="A40:A41"/>
    <mergeCell ref="B40:C40"/>
    <mergeCell ref="D40:D41"/>
    <mergeCell ref="E40:E41"/>
    <mergeCell ref="H40:I40"/>
    <mergeCell ref="N33:O33"/>
    <mergeCell ref="B34:C34"/>
    <mergeCell ref="H34:I34"/>
    <mergeCell ref="N34:O34"/>
    <mergeCell ref="J30:J35"/>
    <mergeCell ref="K30:K35"/>
    <mergeCell ref="N30:O30"/>
    <mergeCell ref="B31:C31"/>
    <mergeCell ref="H31:I31"/>
    <mergeCell ref="N31:O31"/>
    <mergeCell ref="B32:C32"/>
    <mergeCell ref="D32:D34"/>
    <mergeCell ref="E32:E34"/>
    <mergeCell ref="H32:I32"/>
    <mergeCell ref="A30:A31"/>
    <mergeCell ref="B30:C30"/>
    <mergeCell ref="D30:D31"/>
    <mergeCell ref="E30:E31"/>
    <mergeCell ref="G30:G35"/>
    <mergeCell ref="H30:I30"/>
    <mergeCell ref="A32:A34"/>
    <mergeCell ref="A35:A36"/>
    <mergeCell ref="B35:C35"/>
    <mergeCell ref="D35:D36"/>
    <mergeCell ref="B33:C33"/>
    <mergeCell ref="H33:I33"/>
    <mergeCell ref="A26:A27"/>
    <mergeCell ref="B26:C26"/>
    <mergeCell ref="D26:D27"/>
    <mergeCell ref="E26:E27"/>
    <mergeCell ref="H26:I26"/>
    <mergeCell ref="N26:O26"/>
    <mergeCell ref="B27:C27"/>
    <mergeCell ref="H27:I27"/>
    <mergeCell ref="N27:O27"/>
    <mergeCell ref="G25:G29"/>
    <mergeCell ref="H25:I25"/>
    <mergeCell ref="J25:J29"/>
    <mergeCell ref="K25:K29"/>
    <mergeCell ref="N25:O25"/>
    <mergeCell ref="A28:A29"/>
    <mergeCell ref="B28:C28"/>
    <mergeCell ref="D28:D29"/>
    <mergeCell ref="E28:E29"/>
    <mergeCell ref="H28:I28"/>
    <mergeCell ref="N28:O28"/>
    <mergeCell ref="B29:C29"/>
    <mergeCell ref="H29:I29"/>
    <mergeCell ref="N29:O29"/>
    <mergeCell ref="B21:C21"/>
    <mergeCell ref="H21:I21"/>
    <mergeCell ref="N21:O21"/>
    <mergeCell ref="A22:A23"/>
    <mergeCell ref="B22:C22"/>
    <mergeCell ref="D22:D23"/>
    <mergeCell ref="E22:E23"/>
    <mergeCell ref="G22:G24"/>
    <mergeCell ref="H22:I22"/>
    <mergeCell ref="J22:J24"/>
    <mergeCell ref="N24:O24"/>
    <mergeCell ref="K22:K24"/>
    <mergeCell ref="N22:O22"/>
    <mergeCell ref="B23:C23"/>
    <mergeCell ref="H23:I23"/>
    <mergeCell ref="N23:O23"/>
    <mergeCell ref="A24:A25"/>
    <mergeCell ref="B24:C24"/>
    <mergeCell ref="D24:D25"/>
    <mergeCell ref="E24:E25"/>
    <mergeCell ref="H24:I24"/>
    <mergeCell ref="B25:C25"/>
    <mergeCell ref="A19:A20"/>
    <mergeCell ref="B19:C19"/>
    <mergeCell ref="D19:D20"/>
    <mergeCell ref="E19:E20"/>
    <mergeCell ref="H19:I19"/>
    <mergeCell ref="N19:O19"/>
    <mergeCell ref="B20:C20"/>
    <mergeCell ref="H20:I20"/>
    <mergeCell ref="N20:O20"/>
    <mergeCell ref="A17:A18"/>
    <mergeCell ref="B17:C17"/>
    <mergeCell ref="D17:D18"/>
    <mergeCell ref="E17:E18"/>
    <mergeCell ref="H17:I17"/>
    <mergeCell ref="N17:O17"/>
    <mergeCell ref="B18:C18"/>
    <mergeCell ref="G18:G21"/>
    <mergeCell ref="H18:I18"/>
    <mergeCell ref="J18:J21"/>
    <mergeCell ref="J14:J17"/>
    <mergeCell ref="K14:K17"/>
    <mergeCell ref="M14:M50"/>
    <mergeCell ref="N14:O14"/>
    <mergeCell ref="N15:O15"/>
    <mergeCell ref="N16:O16"/>
    <mergeCell ref="K18:K21"/>
    <mergeCell ref="N18:O18"/>
    <mergeCell ref="A14:A15"/>
    <mergeCell ref="B14:C14"/>
    <mergeCell ref="D14:D15"/>
    <mergeCell ref="E14:E15"/>
    <mergeCell ref="G14:G17"/>
    <mergeCell ref="H14:I14"/>
    <mergeCell ref="U11:U12"/>
    <mergeCell ref="V11:AY11"/>
    <mergeCell ref="AZ11:AZ12"/>
    <mergeCell ref="A8:B8"/>
    <mergeCell ref="M8:N8"/>
    <mergeCell ref="A9:B9"/>
    <mergeCell ref="M9:N9"/>
    <mergeCell ref="A11:A12"/>
    <mergeCell ref="B11:C12"/>
    <mergeCell ref="D11:E11"/>
    <mergeCell ref="G11:G12"/>
    <mergeCell ref="H11:I12"/>
    <mergeCell ref="J11:K11"/>
    <mergeCell ref="A1:Q1"/>
    <mergeCell ref="A2:Q2"/>
    <mergeCell ref="A3:Q3"/>
    <mergeCell ref="A4:Q4"/>
    <mergeCell ref="A6:Q6"/>
    <mergeCell ref="A7:B7"/>
    <mergeCell ref="M7:N7"/>
    <mergeCell ref="M11:M12"/>
    <mergeCell ref="N11:O12"/>
    <mergeCell ref="P11:Q11"/>
  </mergeCells>
  <pageMargins left="0.35" right="0.25" top="0.31" bottom="0.74803149606299213" header="0.31496062992125984" footer="0.31496062992125984"/>
  <pageSetup paperSize="5" scale="85" orientation="portrait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8"/>
  <sheetViews>
    <sheetView topLeftCell="H2" workbookViewId="0">
      <pane ySplit="6" topLeftCell="A8" activePane="bottomLeft" state="frozen"/>
      <selection activeCell="A2" sqref="A2"/>
      <selection pane="bottomLeft" activeCell="AI22" sqref="AI22"/>
    </sheetView>
  </sheetViews>
  <sheetFormatPr defaultRowHeight="15" x14ac:dyDescent="0.25"/>
  <cols>
    <col min="1" max="1" width="6.85546875" style="7" customWidth="1"/>
    <col min="2" max="2" width="20.5703125" style="32" customWidth="1"/>
    <col min="3" max="4" width="4.7109375" style="22" customWidth="1"/>
    <col min="5" max="6" width="4.7109375" style="24" customWidth="1"/>
    <col min="7" max="8" width="4.7109375" style="25" customWidth="1"/>
    <col min="9" max="10" width="4.7109375" style="28" customWidth="1"/>
    <col min="11" max="12" width="4.7109375" style="26" customWidth="1"/>
    <col min="13" max="14" width="4.7109375" style="22" customWidth="1"/>
    <col min="15" max="16" width="4.7109375" style="24" customWidth="1"/>
    <col min="17" max="18" width="4.7109375" style="25" customWidth="1"/>
    <col min="19" max="20" width="4.7109375" style="28" customWidth="1"/>
    <col min="21" max="22" width="4.7109375" style="27" customWidth="1"/>
    <col min="23" max="24" width="4.7109375" style="22" customWidth="1"/>
    <col min="25" max="26" width="4.7109375" style="24" customWidth="1"/>
    <col min="27" max="28" width="4.7109375" style="25" customWidth="1"/>
    <col min="29" max="30" width="4.7109375" style="28" customWidth="1"/>
    <col min="31" max="34" width="4.7109375" style="27" customWidth="1"/>
    <col min="35" max="35" width="12.140625" style="27" customWidth="1"/>
    <col min="36" max="37" width="12.85546875" style="22" customWidth="1"/>
    <col min="38" max="38" width="20" customWidth="1"/>
  </cols>
  <sheetData>
    <row r="1" spans="1:38" ht="40.5" customHeight="1" x14ac:dyDescent="0.25">
      <c r="A1" s="104" t="s">
        <v>150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</row>
    <row r="2" spans="1:38" ht="37.5" customHeight="1" x14ac:dyDescent="0.25">
      <c r="A2" s="104" t="s">
        <v>150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</row>
    <row r="3" spans="1:38" ht="9.75" customHeight="1" thickBot="1" x14ac:dyDescent="0.3">
      <c r="A3" s="30"/>
    </row>
    <row r="4" spans="1:38" ht="16.5" thickTop="1" thickBot="1" x14ac:dyDescent="0.3">
      <c r="A4" s="105" t="s">
        <v>147</v>
      </c>
      <c r="B4" s="105" t="s">
        <v>148</v>
      </c>
      <c r="C4" s="101" t="s">
        <v>0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3"/>
      <c r="AG4" s="110" t="s">
        <v>161</v>
      </c>
      <c r="AH4" s="111"/>
      <c r="AI4" s="44" t="s">
        <v>149</v>
      </c>
      <c r="AJ4" s="47" t="s">
        <v>165</v>
      </c>
      <c r="AK4" s="97" t="s">
        <v>167</v>
      </c>
      <c r="AL4" s="57" t="s">
        <v>149</v>
      </c>
    </row>
    <row r="5" spans="1:38" x14ac:dyDescent="0.25">
      <c r="A5" s="106"/>
      <c r="B5" s="108"/>
      <c r="C5" s="95">
        <v>1</v>
      </c>
      <c r="D5" s="95">
        <v>2</v>
      </c>
      <c r="E5" s="95">
        <v>3</v>
      </c>
      <c r="F5" s="95">
        <v>4</v>
      </c>
      <c r="G5" s="95">
        <v>5</v>
      </c>
      <c r="H5" s="95">
        <v>6</v>
      </c>
      <c r="I5" s="95">
        <v>7</v>
      </c>
      <c r="J5" s="95">
        <v>8</v>
      </c>
      <c r="K5" s="95">
        <v>9</v>
      </c>
      <c r="L5" s="95">
        <v>10</v>
      </c>
      <c r="M5" s="95">
        <v>11</v>
      </c>
      <c r="N5" s="95">
        <v>12</v>
      </c>
      <c r="O5" s="95">
        <v>13</v>
      </c>
      <c r="P5" s="95">
        <v>14</v>
      </c>
      <c r="Q5" s="95">
        <v>15</v>
      </c>
      <c r="R5" s="95">
        <v>16</v>
      </c>
      <c r="S5" s="95">
        <v>17</v>
      </c>
      <c r="T5" s="95">
        <v>18</v>
      </c>
      <c r="U5" s="95">
        <v>19</v>
      </c>
      <c r="V5" s="95">
        <v>20</v>
      </c>
      <c r="W5" s="95">
        <v>21</v>
      </c>
      <c r="X5" s="95">
        <v>22</v>
      </c>
      <c r="Y5" s="95">
        <v>23</v>
      </c>
      <c r="Z5" s="95">
        <v>24</v>
      </c>
      <c r="AA5" s="95">
        <v>25</v>
      </c>
      <c r="AB5" s="95">
        <v>26</v>
      </c>
      <c r="AC5" s="95">
        <v>27</v>
      </c>
      <c r="AD5" s="95">
        <v>28</v>
      </c>
      <c r="AE5" s="95">
        <v>29</v>
      </c>
      <c r="AF5" s="95">
        <v>30</v>
      </c>
      <c r="AG5" s="99" t="s">
        <v>162</v>
      </c>
      <c r="AH5" s="100"/>
      <c r="AI5" s="65" t="s">
        <v>171</v>
      </c>
      <c r="AJ5" s="66" t="s">
        <v>151</v>
      </c>
      <c r="AK5" s="98"/>
      <c r="AL5" s="67" t="s">
        <v>171</v>
      </c>
    </row>
    <row r="6" spans="1:38" ht="15.75" thickBot="1" x14ac:dyDescent="0.3">
      <c r="A6" s="107"/>
      <c r="B6" s="109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112" t="s">
        <v>168</v>
      </c>
      <c r="AH6" s="113" t="s">
        <v>162</v>
      </c>
      <c r="AI6" s="45" t="s">
        <v>166</v>
      </c>
      <c r="AJ6" s="48" t="s">
        <v>169</v>
      </c>
      <c r="AK6" s="62" t="s">
        <v>170</v>
      </c>
      <c r="AL6" s="58" t="s">
        <v>172</v>
      </c>
    </row>
    <row r="7" spans="1:38" ht="6" customHeight="1" thickTop="1" x14ac:dyDescent="0.25">
      <c r="AG7" s="41"/>
      <c r="AH7" s="41"/>
      <c r="AI7" s="41"/>
      <c r="AJ7" s="49"/>
      <c r="AK7" s="63"/>
      <c r="AL7" s="59"/>
    </row>
    <row r="8" spans="1:38" ht="15.75" x14ac:dyDescent="0.25">
      <c r="A8" s="21">
        <v>1</v>
      </c>
      <c r="B8" s="36" t="str">
        <f>'1'!$C$7</f>
        <v>ABDULLOH ABBAS</v>
      </c>
      <c r="C8" s="23">
        <f>'1'!$V$14</f>
        <v>0</v>
      </c>
      <c r="D8" s="23">
        <f>'1'!$W$14</f>
        <v>0</v>
      </c>
      <c r="E8" s="23">
        <f>'1'!$X$14</f>
        <v>0</v>
      </c>
      <c r="F8" s="23">
        <f>'1'!$Y$14</f>
        <v>0</v>
      </c>
      <c r="G8" s="23">
        <f>'1'!$Z$14</f>
        <v>0</v>
      </c>
      <c r="H8" s="23">
        <f>'1'!$AA$14</f>
        <v>0</v>
      </c>
      <c r="I8" s="23">
        <f>'1'!$AB$14</f>
        <v>0</v>
      </c>
      <c r="J8" s="23">
        <f>'1'!$AC$14</f>
        <v>0</v>
      </c>
      <c r="K8" s="23">
        <f>'1'!$AD$14</f>
        <v>0</v>
      </c>
      <c r="L8" s="23">
        <f>'1'!$AE$14</f>
        <v>0</v>
      </c>
      <c r="M8" s="23">
        <f>'1'!$AF$14</f>
        <v>0</v>
      </c>
      <c r="N8" s="23">
        <f>'1'!$AG$14</f>
        <v>0</v>
      </c>
      <c r="O8" s="23">
        <f>'1'!$AH$14</f>
        <v>0</v>
      </c>
      <c r="P8" s="23">
        <f>'1'!$AI$14</f>
        <v>0</v>
      </c>
      <c r="Q8" s="23">
        <f>'1'!$AJ$14</f>
        <v>0</v>
      </c>
      <c r="R8" s="23">
        <f>'1'!$AK$14</f>
        <v>0</v>
      </c>
      <c r="S8" s="23">
        <f>'1'!$AL$14</f>
        <v>0</v>
      </c>
      <c r="T8" s="23">
        <f>'1'!$AM$14</f>
        <v>0</v>
      </c>
      <c r="U8" s="23">
        <f>'1'!$AN$14</f>
        <v>0</v>
      </c>
      <c r="V8" s="23">
        <f>'1'!$AO$14</f>
        <v>0</v>
      </c>
      <c r="W8" s="23">
        <f>'1'!$AP$14</f>
        <v>0</v>
      </c>
      <c r="X8" s="23">
        <f>'1'!$AQ$14</f>
        <v>0</v>
      </c>
      <c r="Y8" s="23">
        <f>'1'!$AR$14</f>
        <v>0</v>
      </c>
      <c r="Z8" s="23">
        <f>'1'!$AS$14</f>
        <v>0</v>
      </c>
      <c r="AA8" s="23">
        <f>'1'!$AT$14</f>
        <v>0</v>
      </c>
      <c r="AB8" s="23">
        <f>'1'!$AU$14</f>
        <v>0</v>
      </c>
      <c r="AC8" s="23">
        <f>'1'!$AV$14</f>
        <v>90</v>
      </c>
      <c r="AD8" s="23">
        <f>'1'!$AW$14</f>
        <v>82</v>
      </c>
      <c r="AE8" s="23">
        <f>'1'!$AX$14</f>
        <v>90</v>
      </c>
      <c r="AF8" s="40">
        <f>'1'!$AY$14</f>
        <v>90</v>
      </c>
      <c r="AG8" s="42">
        <f>COUNTIF(C8:AF8,"&gt;0")</f>
        <v>4</v>
      </c>
      <c r="AH8" s="43" t="s">
        <v>164</v>
      </c>
      <c r="AI8" s="46">
        <f t="shared" ref="AI8:AI18" si="0">RANK(AG8,$AG$8:$AG$18,0)</f>
        <v>4</v>
      </c>
      <c r="AJ8" s="50">
        <f>AVERAGEIF(C8:AF8,"&gt;0")</f>
        <v>88</v>
      </c>
      <c r="AK8" s="64">
        <f>10*AG8+AJ8</f>
        <v>128</v>
      </c>
      <c r="AL8" s="60">
        <f t="shared" ref="AL8:AL18" si="1">RANK(AK8,$AK$8:$AK$18,0)</f>
        <v>3</v>
      </c>
    </row>
    <row r="9" spans="1:38" ht="15.75" x14ac:dyDescent="0.25">
      <c r="A9" s="21">
        <v>2</v>
      </c>
      <c r="B9" s="36" t="str">
        <f>'2'!$C$7</f>
        <v>FALAH</v>
      </c>
      <c r="C9" s="23">
        <f>'2'!$V$14</f>
        <v>0</v>
      </c>
      <c r="D9" s="23">
        <f>'2'!$W$14</f>
        <v>0</v>
      </c>
      <c r="E9" s="23">
        <f>'2'!$X$14</f>
        <v>0</v>
      </c>
      <c r="F9" s="23">
        <f>'2'!$Y$14</f>
        <v>0</v>
      </c>
      <c r="G9" s="23">
        <f>'2'!$Z$14</f>
        <v>0</v>
      </c>
      <c r="H9" s="23">
        <f>'2'!$AA$14</f>
        <v>0</v>
      </c>
      <c r="I9" s="23">
        <f>'2'!$AB$14</f>
        <v>0</v>
      </c>
      <c r="J9" s="23">
        <f>'2'!$AC$14</f>
        <v>0</v>
      </c>
      <c r="K9" s="23">
        <f>'2'!$AD$14</f>
        <v>0</v>
      </c>
      <c r="L9" s="23">
        <f>'2'!$AE$14</f>
        <v>0</v>
      </c>
      <c r="M9" s="23">
        <f>'2'!$AF$14</f>
        <v>0</v>
      </c>
      <c r="N9" s="23">
        <f>'2'!$AG$14</f>
        <v>0</v>
      </c>
      <c r="O9" s="23">
        <f>'2'!$AH$14</f>
        <v>0</v>
      </c>
      <c r="P9" s="23">
        <f>'2'!$AI$14</f>
        <v>0</v>
      </c>
      <c r="Q9" s="23">
        <f>'2'!$AJ$14</f>
        <v>0</v>
      </c>
      <c r="R9" s="23">
        <f>'2'!$AK$14</f>
        <v>0</v>
      </c>
      <c r="S9" s="23">
        <f>'2'!$AL$14</f>
        <v>0</v>
      </c>
      <c r="T9" s="23">
        <f>'2'!$AM$14</f>
        <v>0</v>
      </c>
      <c r="U9" s="23">
        <f>'2'!$AN$14</f>
        <v>0</v>
      </c>
      <c r="V9" s="23">
        <f>'2'!$AO$14</f>
        <v>0</v>
      </c>
      <c r="W9" s="23">
        <f>'2'!$AP$14</f>
        <v>0</v>
      </c>
      <c r="X9" s="23">
        <f>'2'!$AQ$14</f>
        <v>0</v>
      </c>
      <c r="Y9" s="23">
        <f>'2'!$AR$14</f>
        <v>0</v>
      </c>
      <c r="Z9" s="23">
        <f>'2'!$AS$14</f>
        <v>0</v>
      </c>
      <c r="AA9" s="23">
        <f>'2'!$AT$14</f>
        <v>0</v>
      </c>
      <c r="AB9" s="23">
        <f>'2'!$AU$14</f>
        <v>0</v>
      </c>
      <c r="AC9" s="23">
        <f>'2'!$AV$14</f>
        <v>0</v>
      </c>
      <c r="AD9" s="23">
        <f>'2'!$AW$14</f>
        <v>70</v>
      </c>
      <c r="AE9" s="23">
        <f>'2'!$AX$14</f>
        <v>85</v>
      </c>
      <c r="AF9" s="40">
        <f>'2'!$AY$14</f>
        <v>90</v>
      </c>
      <c r="AG9" s="42">
        <f>COUNTIF(C9:AF9,"&gt;0")</f>
        <v>3</v>
      </c>
      <c r="AH9" s="43" t="s">
        <v>164</v>
      </c>
      <c r="AI9" s="46">
        <f t="shared" si="0"/>
        <v>6</v>
      </c>
      <c r="AJ9" s="50">
        <f>AVERAGEIF(C9:AF9,"&gt;0")</f>
        <v>81.666666666666671</v>
      </c>
      <c r="AK9" s="64">
        <f t="shared" ref="AK9:AK18" si="2">10*AG9+AJ9</f>
        <v>111.66666666666667</v>
      </c>
      <c r="AL9" s="60">
        <f t="shared" si="1"/>
        <v>6</v>
      </c>
    </row>
    <row r="10" spans="1:38" ht="15.75" x14ac:dyDescent="0.25">
      <c r="A10" s="21">
        <v>3</v>
      </c>
      <c r="B10" s="36" t="str">
        <f>'3'!$C$7</f>
        <v>HAFIZH</v>
      </c>
      <c r="C10" s="23">
        <f>'3'!$V$14</f>
        <v>0</v>
      </c>
      <c r="D10" s="23">
        <f>'3'!$W$14</f>
        <v>0</v>
      </c>
      <c r="E10" s="23">
        <f>'3'!$X$14</f>
        <v>0</v>
      </c>
      <c r="F10" s="23">
        <f>'3'!$Y$14</f>
        <v>0</v>
      </c>
      <c r="G10" s="23">
        <f>'3'!$Z$14</f>
        <v>0</v>
      </c>
      <c r="H10" s="23">
        <f>'3'!$AA$14</f>
        <v>0</v>
      </c>
      <c r="I10" s="23">
        <f>'3'!$AB$14</f>
        <v>0</v>
      </c>
      <c r="J10" s="23">
        <f>'3'!$AC$14</f>
        <v>0</v>
      </c>
      <c r="K10" s="23">
        <f>'3'!$AD$14</f>
        <v>0</v>
      </c>
      <c r="L10" s="23">
        <f>'3'!$AE$14</f>
        <v>0</v>
      </c>
      <c r="M10" s="23">
        <f>'3'!$AF$14</f>
        <v>0</v>
      </c>
      <c r="N10" s="23">
        <f>'3'!$AG$14</f>
        <v>0</v>
      </c>
      <c r="O10" s="23">
        <f>'3'!$AH$14</f>
        <v>0</v>
      </c>
      <c r="P10" s="23">
        <f>'3'!$AI$14</f>
        <v>0</v>
      </c>
      <c r="Q10" s="23">
        <f>'3'!$AJ$14</f>
        <v>0</v>
      </c>
      <c r="R10" s="23">
        <f>'3'!$AK$14</f>
        <v>0</v>
      </c>
      <c r="S10" s="23">
        <f>'3'!$AL$14</f>
        <v>0</v>
      </c>
      <c r="T10" s="23">
        <f>'3'!$AM$14</f>
        <v>0</v>
      </c>
      <c r="U10" s="23">
        <f>'3'!$AN$14</f>
        <v>0</v>
      </c>
      <c r="V10" s="23">
        <f>'3'!$AO$14</f>
        <v>0</v>
      </c>
      <c r="W10" s="23">
        <f>'3'!$AP$14</f>
        <v>0</v>
      </c>
      <c r="X10" s="23">
        <f>'3'!$AQ$14</f>
        <v>0</v>
      </c>
      <c r="Y10" s="23">
        <f>'3'!$AR$14</f>
        <v>0</v>
      </c>
      <c r="Z10" s="23">
        <f>'3'!$AS$14</f>
        <v>60</v>
      </c>
      <c r="AA10" s="23">
        <f>'3'!$AT$14</f>
        <v>65</v>
      </c>
      <c r="AB10" s="23">
        <f>'3'!$AU$14</f>
        <v>82</v>
      </c>
      <c r="AC10" s="23">
        <f>'3'!$AV$14</f>
        <v>76</v>
      </c>
      <c r="AD10" s="23">
        <f>'3'!$AW$14</f>
        <v>72</v>
      </c>
      <c r="AE10" s="23">
        <f>'3'!$AX$14</f>
        <v>88</v>
      </c>
      <c r="AF10" s="40">
        <f>'3'!$AY$14</f>
        <v>90</v>
      </c>
      <c r="AG10" s="42">
        <f t="shared" ref="AG10:AG18" si="3">COUNTIF(C10:AF10,"&gt;0")</f>
        <v>7</v>
      </c>
      <c r="AH10" s="43" t="s">
        <v>164</v>
      </c>
      <c r="AI10" s="46">
        <f t="shared" si="0"/>
        <v>2</v>
      </c>
      <c r="AJ10" s="50">
        <f t="shared" ref="AJ10:AJ18" si="4">AVERAGEIF(C10:AF10,"&gt;0")</f>
        <v>76.142857142857139</v>
      </c>
      <c r="AK10" s="64">
        <f t="shared" si="2"/>
        <v>146.14285714285714</v>
      </c>
      <c r="AL10" s="60">
        <f t="shared" si="1"/>
        <v>2</v>
      </c>
    </row>
    <row r="11" spans="1:38" ht="15.75" x14ac:dyDescent="0.25">
      <c r="A11" s="21">
        <v>4</v>
      </c>
      <c r="B11" s="36" t="str">
        <f>'4'!$C$7</f>
        <v>HARUN</v>
      </c>
      <c r="C11" s="23">
        <f>'4'!$V$14</f>
        <v>0</v>
      </c>
      <c r="D11" s="23">
        <f>'4'!$W$14</f>
        <v>0</v>
      </c>
      <c r="E11" s="23">
        <f>'4'!$X$14</f>
        <v>0</v>
      </c>
      <c r="F11" s="23">
        <f>'4'!$Y$14</f>
        <v>0</v>
      </c>
      <c r="G11" s="23">
        <f>'4'!$Z$14</f>
        <v>0</v>
      </c>
      <c r="H11" s="23">
        <f>'4'!$AA$14</f>
        <v>0</v>
      </c>
      <c r="I11" s="23">
        <f>'4'!$AB$14</f>
        <v>0</v>
      </c>
      <c r="J11" s="23">
        <f>'4'!$AC$14</f>
        <v>0</v>
      </c>
      <c r="K11" s="23">
        <f>'4'!$AD$14</f>
        <v>0</v>
      </c>
      <c r="L11" s="23">
        <f>'4'!$AE$14</f>
        <v>0</v>
      </c>
      <c r="M11" s="23">
        <f>'4'!$AF$14</f>
        <v>0</v>
      </c>
      <c r="N11" s="23">
        <f>'4'!$AG$14</f>
        <v>0</v>
      </c>
      <c r="O11" s="23">
        <f>'4'!$AH$14</f>
        <v>0</v>
      </c>
      <c r="P11" s="23">
        <f>'4'!$AI$14</f>
        <v>0</v>
      </c>
      <c r="Q11" s="23">
        <f>'4'!$AJ$14</f>
        <v>0</v>
      </c>
      <c r="R11" s="23">
        <f>'4'!$AK$14</f>
        <v>0</v>
      </c>
      <c r="S11" s="23">
        <f>'4'!$AL$14</f>
        <v>0</v>
      </c>
      <c r="T11" s="23">
        <f>'4'!$AM$14</f>
        <v>0</v>
      </c>
      <c r="U11" s="23">
        <f>'4'!$AN$14</f>
        <v>0</v>
      </c>
      <c r="V11" s="23">
        <f>'4'!$AO$14</f>
        <v>0</v>
      </c>
      <c r="W11" s="23">
        <f>'4'!$AP$14</f>
        <v>0</v>
      </c>
      <c r="X11" s="23">
        <f>'4'!$AQ$14</f>
        <v>50</v>
      </c>
      <c r="Y11" s="23">
        <f>'4'!$AR$14</f>
        <v>57</v>
      </c>
      <c r="Z11" s="23">
        <f>'4'!$AS$14</f>
        <v>70</v>
      </c>
      <c r="AA11" s="23">
        <f>'4'!$AT$14</f>
        <v>67</v>
      </c>
      <c r="AB11" s="23">
        <f>'4'!$AU$14</f>
        <v>86</v>
      </c>
      <c r="AC11" s="23">
        <f>'4'!$AV$14</f>
        <v>90</v>
      </c>
      <c r="AD11" s="23">
        <f>'4'!$AW$14</f>
        <v>73</v>
      </c>
      <c r="AE11" s="23">
        <f>'4'!$AX$14</f>
        <v>90</v>
      </c>
      <c r="AF11" s="40">
        <f>'4'!$AY$14</f>
        <v>90</v>
      </c>
      <c r="AG11" s="42">
        <f t="shared" si="3"/>
        <v>9</v>
      </c>
      <c r="AH11" s="43" t="s">
        <v>164</v>
      </c>
      <c r="AI11" s="46">
        <f t="shared" si="0"/>
        <v>1</v>
      </c>
      <c r="AJ11" s="50">
        <f t="shared" si="4"/>
        <v>74.777777777777771</v>
      </c>
      <c r="AK11" s="64">
        <f t="shared" si="2"/>
        <v>164.77777777777777</v>
      </c>
      <c r="AL11" s="60">
        <f t="shared" si="1"/>
        <v>1</v>
      </c>
    </row>
    <row r="12" spans="1:38" ht="15.75" x14ac:dyDescent="0.25">
      <c r="A12" s="21">
        <v>5</v>
      </c>
      <c r="B12" s="36" t="str">
        <f>'5'!$C$7</f>
        <v>HASAN HAFIZHUDDIN</v>
      </c>
      <c r="C12" s="23">
        <f>'5'!$V$14</f>
        <v>0</v>
      </c>
      <c r="D12" s="23">
        <f>'5'!$W$14</f>
        <v>0</v>
      </c>
      <c r="E12" s="23">
        <f>'5'!$X$14</f>
        <v>0</v>
      </c>
      <c r="F12" s="23">
        <f>'5'!$Y$14</f>
        <v>0</v>
      </c>
      <c r="G12" s="23">
        <f>'5'!$Z$14</f>
        <v>0</v>
      </c>
      <c r="H12" s="23">
        <f>'5'!$AA$14</f>
        <v>0</v>
      </c>
      <c r="I12" s="23">
        <f>'5'!$AB$14</f>
        <v>0</v>
      </c>
      <c r="J12" s="23">
        <f>'5'!$AC$14</f>
        <v>0</v>
      </c>
      <c r="K12" s="23">
        <f>'5'!$AD$14</f>
        <v>0</v>
      </c>
      <c r="L12" s="23">
        <f>'5'!$AE$14</f>
        <v>0</v>
      </c>
      <c r="M12" s="23">
        <f>'5'!$AF$14</f>
        <v>0</v>
      </c>
      <c r="N12" s="23">
        <f>'5'!$AG$14</f>
        <v>0</v>
      </c>
      <c r="O12" s="23">
        <f>'5'!$AH$14</f>
        <v>0</v>
      </c>
      <c r="P12" s="23">
        <f>'5'!$AI$14</f>
        <v>0</v>
      </c>
      <c r="Q12" s="23">
        <f>'5'!$AJ$14</f>
        <v>0</v>
      </c>
      <c r="R12" s="23">
        <f>'5'!$AK$14</f>
        <v>0</v>
      </c>
      <c r="S12" s="23">
        <f>'5'!$AL$14</f>
        <v>0</v>
      </c>
      <c r="T12" s="23">
        <f>'5'!$AM$14</f>
        <v>0</v>
      </c>
      <c r="U12" s="23">
        <f>'5'!$AN$14</f>
        <v>0</v>
      </c>
      <c r="V12" s="23">
        <f>'5'!$AO$14</f>
        <v>0</v>
      </c>
      <c r="W12" s="23">
        <f>'5'!$AP$14</f>
        <v>0</v>
      </c>
      <c r="X12" s="23">
        <f>'5'!$AQ$14</f>
        <v>0</v>
      </c>
      <c r="Y12" s="23">
        <f>'5'!$AR$14</f>
        <v>0</v>
      </c>
      <c r="Z12" s="23">
        <f>'5'!$AS$14</f>
        <v>0</v>
      </c>
      <c r="AA12" s="23">
        <f>'5'!$AT$14</f>
        <v>0</v>
      </c>
      <c r="AB12" s="23">
        <f>'5'!$AU$14</f>
        <v>0</v>
      </c>
      <c r="AC12" s="23">
        <f>'5'!$AV$14</f>
        <v>80</v>
      </c>
      <c r="AD12" s="23">
        <f>'5'!$AW$14</f>
        <v>85</v>
      </c>
      <c r="AE12" s="23">
        <f>'5'!$AX$14</f>
        <v>85</v>
      </c>
      <c r="AF12" s="40">
        <f>'5'!$AY$14</f>
        <v>90</v>
      </c>
      <c r="AG12" s="42">
        <f t="shared" si="3"/>
        <v>4</v>
      </c>
      <c r="AH12" s="43" t="s">
        <v>164</v>
      </c>
      <c r="AI12" s="46">
        <f t="shared" si="0"/>
        <v>4</v>
      </c>
      <c r="AJ12" s="50">
        <f t="shared" si="4"/>
        <v>85</v>
      </c>
      <c r="AK12" s="64">
        <f t="shared" si="2"/>
        <v>125</v>
      </c>
      <c r="AL12" s="60">
        <f t="shared" si="1"/>
        <v>5</v>
      </c>
    </row>
    <row r="13" spans="1:38" ht="15.75" x14ac:dyDescent="0.25">
      <c r="A13" s="21">
        <v>6</v>
      </c>
      <c r="B13" s="36" t="str">
        <f>'6'!$C$7</f>
        <v>IBROHIM AL ATSARY</v>
      </c>
      <c r="C13" s="23">
        <f>'6'!$V$14</f>
        <v>0</v>
      </c>
      <c r="D13" s="23">
        <f>'6'!$W$14</f>
        <v>0</v>
      </c>
      <c r="E13" s="23">
        <f>'6'!$X$14</f>
        <v>0</v>
      </c>
      <c r="F13" s="23">
        <f>'6'!$Y$14</f>
        <v>0</v>
      </c>
      <c r="G13" s="23">
        <f>'6'!$Z$14</f>
        <v>0</v>
      </c>
      <c r="H13" s="23">
        <f>'6'!$AA$14</f>
        <v>0</v>
      </c>
      <c r="I13" s="23">
        <f>'6'!$AB$14</f>
        <v>0</v>
      </c>
      <c r="J13" s="23">
        <f>'6'!$AC$14</f>
        <v>0</v>
      </c>
      <c r="K13" s="23">
        <f>'6'!$AD$14</f>
        <v>0</v>
      </c>
      <c r="L13" s="23">
        <f>'6'!$AE$14</f>
        <v>0</v>
      </c>
      <c r="M13" s="23">
        <f>'6'!$AF$14</f>
        <v>0</v>
      </c>
      <c r="N13" s="23">
        <f>'6'!$AG$14</f>
        <v>0</v>
      </c>
      <c r="O13" s="23">
        <f>'6'!$AH$14</f>
        <v>0</v>
      </c>
      <c r="P13" s="23">
        <f>'6'!$AI$14</f>
        <v>0</v>
      </c>
      <c r="Q13" s="23">
        <f>'6'!$AJ$14</f>
        <v>0</v>
      </c>
      <c r="R13" s="23">
        <f>'6'!$AK$14</f>
        <v>0</v>
      </c>
      <c r="S13" s="23">
        <f>'6'!$AL$14</f>
        <v>0</v>
      </c>
      <c r="T13" s="23">
        <f>'6'!$AM$14</f>
        <v>0</v>
      </c>
      <c r="U13" s="23">
        <f>'6'!$AN$14</f>
        <v>0</v>
      </c>
      <c r="V13" s="23">
        <f>'6'!$AO$14</f>
        <v>0</v>
      </c>
      <c r="W13" s="23">
        <f>'6'!$AP$14</f>
        <v>0</v>
      </c>
      <c r="X13" s="23">
        <f>'6'!$AQ$14</f>
        <v>0</v>
      </c>
      <c r="Y13" s="23">
        <f>'6'!$AR$14</f>
        <v>0</v>
      </c>
      <c r="Z13" s="23">
        <f>'6'!$AS$14</f>
        <v>0</v>
      </c>
      <c r="AA13" s="23">
        <f>'6'!$AT$14</f>
        <v>0</v>
      </c>
      <c r="AB13" s="23">
        <f>'6'!$AU$14</f>
        <v>0</v>
      </c>
      <c r="AC13" s="23">
        <f>'6'!$AV$14</f>
        <v>0</v>
      </c>
      <c r="AD13" s="23">
        <f>'6'!$AW$14</f>
        <v>0</v>
      </c>
      <c r="AE13" s="23">
        <f>'6'!$AX$14</f>
        <v>59</v>
      </c>
      <c r="AF13" s="40">
        <f>'6'!$AY$14</f>
        <v>64</v>
      </c>
      <c r="AG13" s="42">
        <f t="shared" si="3"/>
        <v>2</v>
      </c>
      <c r="AH13" s="43" t="s">
        <v>164</v>
      </c>
      <c r="AI13" s="46">
        <f t="shared" si="0"/>
        <v>8</v>
      </c>
      <c r="AJ13" s="50">
        <f t="shared" si="4"/>
        <v>61.5</v>
      </c>
      <c r="AK13" s="64">
        <f t="shared" si="2"/>
        <v>81.5</v>
      </c>
      <c r="AL13" s="60">
        <f t="shared" si="1"/>
        <v>11</v>
      </c>
    </row>
    <row r="14" spans="1:38" ht="15.75" x14ac:dyDescent="0.25">
      <c r="A14" s="21">
        <v>7</v>
      </c>
      <c r="B14" s="36" t="str">
        <f>'7'!$C$7</f>
        <v>M. AUZAI ZIYAD</v>
      </c>
      <c r="C14" s="23">
        <f>'7'!$V$14</f>
        <v>0</v>
      </c>
      <c r="D14" s="23">
        <f>'7'!$W$14</f>
        <v>0</v>
      </c>
      <c r="E14" s="23">
        <f>'7'!$X$14</f>
        <v>0</v>
      </c>
      <c r="F14" s="23">
        <f>'7'!$Y$14</f>
        <v>0</v>
      </c>
      <c r="G14" s="23">
        <f>'7'!$Z$14</f>
        <v>0</v>
      </c>
      <c r="H14" s="23">
        <f>'7'!$AA$14</f>
        <v>0</v>
      </c>
      <c r="I14" s="23">
        <f>'7'!$AB$14</f>
        <v>0</v>
      </c>
      <c r="J14" s="23">
        <f>'7'!$AC$14</f>
        <v>0</v>
      </c>
      <c r="K14" s="23">
        <f>'7'!$AD$14</f>
        <v>0</v>
      </c>
      <c r="L14" s="23">
        <f>'7'!$AE$14</f>
        <v>0</v>
      </c>
      <c r="M14" s="23">
        <f>'7'!$AF$14</f>
        <v>0</v>
      </c>
      <c r="N14" s="23">
        <f>'7'!$AG$14</f>
        <v>0</v>
      </c>
      <c r="O14" s="23">
        <f>'7'!$AH$14</f>
        <v>0</v>
      </c>
      <c r="P14" s="23">
        <f>'7'!$AI$14</f>
        <v>0</v>
      </c>
      <c r="Q14" s="23">
        <f>'7'!$AJ$14</f>
        <v>0</v>
      </c>
      <c r="R14" s="23">
        <f>'7'!$AK$14</f>
        <v>0</v>
      </c>
      <c r="S14" s="23">
        <f>'7'!$AL$14</f>
        <v>0</v>
      </c>
      <c r="T14" s="23">
        <f>'7'!$AM$14</f>
        <v>0</v>
      </c>
      <c r="U14" s="23">
        <f>'7'!$AN$14</f>
        <v>0</v>
      </c>
      <c r="V14" s="23">
        <f>'7'!$AO$14</f>
        <v>0</v>
      </c>
      <c r="W14" s="23">
        <f>'7'!$AP$14</f>
        <v>0</v>
      </c>
      <c r="X14" s="23">
        <f>'7'!$AQ$14</f>
        <v>0</v>
      </c>
      <c r="Y14" s="23">
        <f>'7'!$AR$14</f>
        <v>0</v>
      </c>
      <c r="Z14" s="23">
        <f>'7'!$AS$14</f>
        <v>0</v>
      </c>
      <c r="AA14" s="23">
        <f>'7'!$AT$14</f>
        <v>0</v>
      </c>
      <c r="AB14" s="23">
        <f>'7'!$AU$14</f>
        <v>0</v>
      </c>
      <c r="AC14" s="23">
        <f>'7'!$AV$14</f>
        <v>0</v>
      </c>
      <c r="AD14" s="23">
        <f>'7'!$AW$14</f>
        <v>53</v>
      </c>
      <c r="AE14" s="23">
        <f>'7'!$AX$14</f>
        <v>80</v>
      </c>
      <c r="AF14" s="40">
        <f>'7'!$AY$14</f>
        <v>80</v>
      </c>
      <c r="AG14" s="42">
        <f t="shared" si="3"/>
        <v>3</v>
      </c>
      <c r="AH14" s="43" t="s">
        <v>164</v>
      </c>
      <c r="AI14" s="46">
        <f t="shared" si="0"/>
        <v>6</v>
      </c>
      <c r="AJ14" s="50">
        <f t="shared" si="4"/>
        <v>71</v>
      </c>
      <c r="AK14" s="64">
        <f t="shared" si="2"/>
        <v>101</v>
      </c>
      <c r="AL14" s="60">
        <f t="shared" si="1"/>
        <v>9</v>
      </c>
    </row>
    <row r="15" spans="1:38" ht="15.75" x14ac:dyDescent="0.25">
      <c r="A15" s="21">
        <v>8</v>
      </c>
      <c r="B15" s="36" t="str">
        <f>'8'!$C$7</f>
        <v>MUHAMMAD FAKIH</v>
      </c>
      <c r="C15" s="23">
        <f>'8'!$V$14</f>
        <v>0</v>
      </c>
      <c r="D15" s="23">
        <f>'8'!$W$14</f>
        <v>0</v>
      </c>
      <c r="E15" s="23">
        <f>'8'!$X$14</f>
        <v>0</v>
      </c>
      <c r="F15" s="23">
        <f>'8'!$Y$14</f>
        <v>0</v>
      </c>
      <c r="G15" s="23">
        <f>'8'!$Z$14</f>
        <v>0</v>
      </c>
      <c r="H15" s="23">
        <f>'8'!$AA$14</f>
        <v>0</v>
      </c>
      <c r="I15" s="23">
        <f>'8'!$AB$14</f>
        <v>0</v>
      </c>
      <c r="J15" s="23">
        <f>'8'!$AC$14</f>
        <v>0</v>
      </c>
      <c r="K15" s="23">
        <f>'8'!$AD$14</f>
        <v>0</v>
      </c>
      <c r="L15" s="23">
        <f>'8'!$AE$14</f>
        <v>0</v>
      </c>
      <c r="M15" s="23">
        <f>'8'!$AF$14</f>
        <v>0</v>
      </c>
      <c r="N15" s="23">
        <f>'8'!$AG$14</f>
        <v>0</v>
      </c>
      <c r="O15" s="23">
        <f>'8'!$AH$14</f>
        <v>0</v>
      </c>
      <c r="P15" s="23">
        <f>'8'!$AI$14</f>
        <v>0</v>
      </c>
      <c r="Q15" s="23">
        <f>'8'!$AJ$14</f>
        <v>0</v>
      </c>
      <c r="R15" s="23">
        <f>'8'!$AK$14</f>
        <v>0</v>
      </c>
      <c r="S15" s="23">
        <f>'8'!$AL$14</f>
        <v>0</v>
      </c>
      <c r="T15" s="23">
        <f>'8'!$AM$14</f>
        <v>0</v>
      </c>
      <c r="U15" s="23">
        <f>'8'!$AN$14</f>
        <v>0</v>
      </c>
      <c r="V15" s="23">
        <f>'8'!$AO$14</f>
        <v>0</v>
      </c>
      <c r="W15" s="23">
        <f>'8'!$AP$14</f>
        <v>0</v>
      </c>
      <c r="X15" s="23">
        <f>'8'!$AQ$14</f>
        <v>0</v>
      </c>
      <c r="Y15" s="23">
        <f>'8'!$AR$14</f>
        <v>0</v>
      </c>
      <c r="Z15" s="23">
        <f>'8'!$AS$14</f>
        <v>0</v>
      </c>
      <c r="AA15" s="23">
        <f>'8'!$AT$14</f>
        <v>0</v>
      </c>
      <c r="AB15" s="23">
        <f>'8'!$AU$14</f>
        <v>0</v>
      </c>
      <c r="AC15" s="23">
        <f>'8'!$AV$14</f>
        <v>0</v>
      </c>
      <c r="AD15" s="23">
        <f>'8'!$AW$14</f>
        <v>0</v>
      </c>
      <c r="AE15" s="23">
        <f>'8'!$AX$14</f>
        <v>75</v>
      </c>
      <c r="AF15" s="40">
        <f>'8'!$AY$14</f>
        <v>85</v>
      </c>
      <c r="AG15" s="42">
        <f t="shared" si="3"/>
        <v>2</v>
      </c>
      <c r="AH15" s="43" t="s">
        <v>164</v>
      </c>
      <c r="AI15" s="46">
        <f t="shared" si="0"/>
        <v>8</v>
      </c>
      <c r="AJ15" s="50">
        <f t="shared" si="4"/>
        <v>80</v>
      </c>
      <c r="AK15" s="64">
        <f t="shared" si="2"/>
        <v>100</v>
      </c>
      <c r="AL15" s="60">
        <f t="shared" si="1"/>
        <v>10</v>
      </c>
    </row>
    <row r="16" spans="1:38" ht="15.75" x14ac:dyDescent="0.25">
      <c r="A16" s="21">
        <v>9</v>
      </c>
      <c r="B16" s="36" t="str">
        <f>'9'!$C$7</f>
        <v>MUHAMMAD ILYAS</v>
      </c>
      <c r="C16" s="23">
        <f>'9'!$V$14</f>
        <v>0</v>
      </c>
      <c r="D16" s="23">
        <f>'9'!$W$14</f>
        <v>0</v>
      </c>
      <c r="E16" s="23">
        <f>'9'!$X$14</f>
        <v>0</v>
      </c>
      <c r="F16" s="23">
        <f>'9'!$Y$14</f>
        <v>0</v>
      </c>
      <c r="G16" s="23">
        <f>'9'!$Z$14</f>
        <v>0</v>
      </c>
      <c r="H16" s="23">
        <f>'9'!$AA$14</f>
        <v>0</v>
      </c>
      <c r="I16" s="23">
        <f>'9'!$AB$14</f>
        <v>0</v>
      </c>
      <c r="J16" s="23">
        <f>'9'!$AC$14</f>
        <v>0</v>
      </c>
      <c r="K16" s="23">
        <f>'9'!$AD$14</f>
        <v>0</v>
      </c>
      <c r="L16" s="23">
        <f>'9'!$AE$14</f>
        <v>0</v>
      </c>
      <c r="M16" s="23">
        <f>'9'!$AF$14</f>
        <v>0</v>
      </c>
      <c r="N16" s="23">
        <f>'9'!$AG$14</f>
        <v>0</v>
      </c>
      <c r="O16" s="23">
        <f>'9'!$AH$14</f>
        <v>0</v>
      </c>
      <c r="P16" s="23">
        <f>'9'!$AI$14</f>
        <v>0</v>
      </c>
      <c r="Q16" s="23">
        <f>'9'!$AJ$14</f>
        <v>0</v>
      </c>
      <c r="R16" s="23">
        <f>'9'!$AK$14</f>
        <v>0</v>
      </c>
      <c r="S16" s="23">
        <f>'9'!$AL$14</f>
        <v>0</v>
      </c>
      <c r="T16" s="23">
        <f>'9'!$AM$14</f>
        <v>0</v>
      </c>
      <c r="U16" s="23">
        <f>'9'!$AN$14</f>
        <v>0</v>
      </c>
      <c r="V16" s="23">
        <f>'9'!$AO$14</f>
        <v>0</v>
      </c>
      <c r="W16" s="23">
        <f>'9'!$AP$14</f>
        <v>0</v>
      </c>
      <c r="X16" s="23">
        <f>'9'!$AQ$14</f>
        <v>0</v>
      </c>
      <c r="Y16" s="23">
        <f>'9'!$AR$14</f>
        <v>0</v>
      </c>
      <c r="Z16" s="23">
        <f>'9'!$AS$14</f>
        <v>0</v>
      </c>
      <c r="AA16" s="23">
        <f>'9'!$AT$14</f>
        <v>0</v>
      </c>
      <c r="AB16" s="23">
        <f>'9'!$AU$14</f>
        <v>0</v>
      </c>
      <c r="AC16" s="23">
        <f>'9'!$AV$14</f>
        <v>0</v>
      </c>
      <c r="AD16" s="23">
        <f>'9'!$AW$14</f>
        <v>0</v>
      </c>
      <c r="AE16" s="23">
        <f>'9'!$AX$14</f>
        <v>85</v>
      </c>
      <c r="AF16" s="40">
        <f>'9'!$AY$14</f>
        <v>85</v>
      </c>
      <c r="AG16" s="42">
        <f t="shared" si="3"/>
        <v>2</v>
      </c>
      <c r="AH16" s="43" t="s">
        <v>164</v>
      </c>
      <c r="AI16" s="46">
        <f t="shared" si="0"/>
        <v>8</v>
      </c>
      <c r="AJ16" s="50">
        <f t="shared" si="4"/>
        <v>85</v>
      </c>
      <c r="AK16" s="64">
        <f t="shared" si="2"/>
        <v>105</v>
      </c>
      <c r="AL16" s="60">
        <f t="shared" si="1"/>
        <v>7</v>
      </c>
    </row>
    <row r="17" spans="1:38" ht="15.75" x14ac:dyDescent="0.25">
      <c r="A17" s="21">
        <v>10</v>
      </c>
      <c r="B17" s="36" t="str">
        <f>'10'!$C$7</f>
        <v>YUNUS</v>
      </c>
      <c r="C17" s="23">
        <f>'10'!$V$14</f>
        <v>0</v>
      </c>
      <c r="D17" s="23">
        <f>'10'!$W$14</f>
        <v>0</v>
      </c>
      <c r="E17" s="23">
        <f>'10'!$X$14</f>
        <v>0</v>
      </c>
      <c r="F17" s="23">
        <f>'10'!$Y$14</f>
        <v>0</v>
      </c>
      <c r="G17" s="23">
        <f>'10'!$Z$14</f>
        <v>0</v>
      </c>
      <c r="H17" s="23">
        <f>'10'!$AA$14</f>
        <v>0</v>
      </c>
      <c r="I17" s="23">
        <f>'10'!$AB$14</f>
        <v>0</v>
      </c>
      <c r="J17" s="23">
        <f>'10'!$AC$14</f>
        <v>0</v>
      </c>
      <c r="K17" s="23">
        <f>'10'!$AD$14</f>
        <v>0</v>
      </c>
      <c r="L17" s="23">
        <f>'10'!$AE$14</f>
        <v>0</v>
      </c>
      <c r="M17" s="23">
        <f>'10'!$AF$14</f>
        <v>0</v>
      </c>
      <c r="N17" s="23">
        <f>'10'!$AG$14</f>
        <v>0</v>
      </c>
      <c r="O17" s="23">
        <f>'10'!$AH$14</f>
        <v>0</v>
      </c>
      <c r="P17" s="23">
        <f>'10'!$AI$14</f>
        <v>0</v>
      </c>
      <c r="Q17" s="23">
        <f>'10'!$AJ$14</f>
        <v>0</v>
      </c>
      <c r="R17" s="23">
        <f>'10'!$AK$14</f>
        <v>0</v>
      </c>
      <c r="S17" s="23">
        <f>'10'!$AL$14</f>
        <v>0</v>
      </c>
      <c r="T17" s="23">
        <f>'10'!$AM$14</f>
        <v>0</v>
      </c>
      <c r="U17" s="23">
        <f>'10'!$AN$14</f>
        <v>0</v>
      </c>
      <c r="V17" s="23">
        <f>'10'!$AO$14</f>
        <v>0</v>
      </c>
      <c r="W17" s="23">
        <f>'10'!$AP$14</f>
        <v>0</v>
      </c>
      <c r="X17" s="23">
        <f>'10'!$AQ$14</f>
        <v>0</v>
      </c>
      <c r="Y17" s="23">
        <f>'10'!$AR$14</f>
        <v>0</v>
      </c>
      <c r="Z17" s="23">
        <f>'10'!$AS$14</f>
        <v>0</v>
      </c>
      <c r="AA17" s="23">
        <f>'10'!$AT$14</f>
        <v>0</v>
      </c>
      <c r="AB17" s="23">
        <f>'10'!$AU$14</f>
        <v>65</v>
      </c>
      <c r="AC17" s="23">
        <f>'10'!$AV$14</f>
        <v>69</v>
      </c>
      <c r="AD17" s="23">
        <f>'10'!$AW$14</f>
        <v>68</v>
      </c>
      <c r="AE17" s="23">
        <f>'10'!$AX$14</f>
        <v>90</v>
      </c>
      <c r="AF17" s="40">
        <f>'10'!$AY$14</f>
        <v>90</v>
      </c>
      <c r="AG17" s="42">
        <f t="shared" si="3"/>
        <v>5</v>
      </c>
      <c r="AH17" s="43" t="s">
        <v>164</v>
      </c>
      <c r="AI17" s="46">
        <f t="shared" si="0"/>
        <v>3</v>
      </c>
      <c r="AJ17" s="50">
        <f t="shared" si="4"/>
        <v>76.400000000000006</v>
      </c>
      <c r="AK17" s="64">
        <f t="shared" si="2"/>
        <v>126.4</v>
      </c>
      <c r="AL17" s="60">
        <f t="shared" si="1"/>
        <v>4</v>
      </c>
    </row>
    <row r="18" spans="1:38" ht="15.75" x14ac:dyDescent="0.25">
      <c r="A18" s="21">
        <v>11</v>
      </c>
      <c r="B18" s="36" t="str">
        <f>'11'!$C$7</f>
        <v>HAMZAH</v>
      </c>
      <c r="C18" s="23">
        <f>'11'!$V$14</f>
        <v>0</v>
      </c>
      <c r="D18" s="23">
        <f>'11'!$W$14</f>
        <v>0</v>
      </c>
      <c r="E18" s="23">
        <f>'11'!$X$14</f>
        <v>0</v>
      </c>
      <c r="F18" s="23">
        <f>'11'!$Y$14</f>
        <v>0</v>
      </c>
      <c r="G18" s="23">
        <f>'11'!$Z$14</f>
        <v>0</v>
      </c>
      <c r="H18" s="23">
        <f>'11'!$AA$14</f>
        <v>0</v>
      </c>
      <c r="I18" s="23">
        <f>'11'!$AB$14</f>
        <v>0</v>
      </c>
      <c r="J18" s="23">
        <f>'11'!$AC$14</f>
        <v>0</v>
      </c>
      <c r="K18" s="23">
        <f>'11'!$AD$14</f>
        <v>0</v>
      </c>
      <c r="L18" s="23">
        <f>'11'!$AE$14</f>
        <v>0</v>
      </c>
      <c r="M18" s="23">
        <f>'11'!$AF$14</f>
        <v>0</v>
      </c>
      <c r="N18" s="23">
        <f>'11'!$AG$14</f>
        <v>0</v>
      </c>
      <c r="O18" s="23">
        <f>'11'!$AH$14</f>
        <v>0</v>
      </c>
      <c r="P18" s="23">
        <f>'11'!$AI$14</f>
        <v>0</v>
      </c>
      <c r="Q18" s="23">
        <f>'11'!$AJ$14</f>
        <v>0</v>
      </c>
      <c r="R18" s="23">
        <f>'11'!$AK$14</f>
        <v>0</v>
      </c>
      <c r="S18" s="23">
        <f>'11'!$AL$14</f>
        <v>0</v>
      </c>
      <c r="T18" s="23">
        <f>'11'!$AM$14</f>
        <v>0</v>
      </c>
      <c r="U18" s="23">
        <f>'11'!$AN$14</f>
        <v>0</v>
      </c>
      <c r="V18" s="23">
        <f>'11'!$AO$14</f>
        <v>0</v>
      </c>
      <c r="W18" s="23">
        <f>'11'!$AP$14</f>
        <v>0</v>
      </c>
      <c r="X18" s="23">
        <f>'11'!$AQ$14</f>
        <v>0</v>
      </c>
      <c r="Y18" s="23">
        <f>'11'!$AR$14</f>
        <v>0</v>
      </c>
      <c r="Z18" s="23">
        <f>'11'!$AS$14</f>
        <v>0</v>
      </c>
      <c r="AA18" s="23">
        <f>'11'!$AT$14</f>
        <v>0</v>
      </c>
      <c r="AB18" s="23">
        <f>'11'!$AU$14</f>
        <v>0</v>
      </c>
      <c r="AC18" s="23">
        <f>'11'!$AV$14</f>
        <v>0</v>
      </c>
      <c r="AD18" s="23">
        <f>'11'!$AW$14</f>
        <v>0</v>
      </c>
      <c r="AE18" s="23">
        <f>'11'!$AX$14</f>
        <v>85</v>
      </c>
      <c r="AF18" s="40">
        <f>'11'!$AY$14</f>
        <v>84</v>
      </c>
      <c r="AG18" s="42">
        <f t="shared" si="3"/>
        <v>2</v>
      </c>
      <c r="AH18" s="43" t="s">
        <v>164</v>
      </c>
      <c r="AI18" s="46">
        <f t="shared" si="0"/>
        <v>8</v>
      </c>
      <c r="AJ18" s="50">
        <f t="shared" si="4"/>
        <v>84.5</v>
      </c>
      <c r="AK18" s="64">
        <f t="shared" si="2"/>
        <v>104.5</v>
      </c>
      <c r="AL18" s="60">
        <f t="shared" si="1"/>
        <v>8</v>
      </c>
    </row>
  </sheetData>
  <mergeCells count="39">
    <mergeCell ref="Y5:Y6"/>
    <mergeCell ref="Z5:Z6"/>
    <mergeCell ref="A1:AL1"/>
    <mergeCell ref="A4:A6"/>
    <mergeCell ref="B4:B6"/>
    <mergeCell ref="L5:L6"/>
    <mergeCell ref="M5:M6"/>
    <mergeCell ref="AG4:AH4"/>
    <mergeCell ref="AG6:AH6"/>
    <mergeCell ref="A2:AL2"/>
    <mergeCell ref="N5:N6"/>
    <mergeCell ref="O5:O6"/>
    <mergeCell ref="P5:P6"/>
    <mergeCell ref="Q5:Q6"/>
    <mergeCell ref="R5:R6"/>
    <mergeCell ref="S5:S6"/>
    <mergeCell ref="H5:H6"/>
    <mergeCell ref="I5:I6"/>
    <mergeCell ref="V5:V6"/>
    <mergeCell ref="W5:W6"/>
    <mergeCell ref="X5:X6"/>
    <mergeCell ref="T5:T6"/>
    <mergeCell ref="U5:U6"/>
    <mergeCell ref="J5:J6"/>
    <mergeCell ref="K5:K6"/>
    <mergeCell ref="AA5:AA6"/>
    <mergeCell ref="AB5:AB6"/>
    <mergeCell ref="AK4:AK5"/>
    <mergeCell ref="AC5:AC6"/>
    <mergeCell ref="AD5:AD6"/>
    <mergeCell ref="AE5:AE6"/>
    <mergeCell ref="AF5:AF6"/>
    <mergeCell ref="AG5:AH5"/>
    <mergeCell ref="C4:AF4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Rekap</vt:lpstr>
      <vt:lpstr>'1'!Print_Area</vt:lpstr>
      <vt:lpstr>'10'!Print_Area</vt:lpstr>
      <vt:lpstr>'11'!Print_Area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ishaq</dc:creator>
  <cp:lastModifiedBy>Asus</cp:lastModifiedBy>
  <cp:lastPrinted>2026-02-24T23:21:15Z</cp:lastPrinted>
  <dcterms:created xsi:type="dcterms:W3CDTF">2015-12-30T03:04:30Z</dcterms:created>
  <dcterms:modified xsi:type="dcterms:W3CDTF">2026-02-28T03:43:41Z</dcterms:modified>
</cp:coreProperties>
</file>